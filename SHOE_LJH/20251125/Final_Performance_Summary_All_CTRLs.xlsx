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GitHub\Shoe_PBL_Project\SHOE_LJH\20251125\"/>
    </mc:Choice>
  </mc:AlternateContent>
  <xr:revisionPtr revIDLastSave="0" documentId="13_ncr:1_{FA9BCF4E-BFBD-4630-90F0-E16ADEC751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l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2" i="1" l="1"/>
  <c r="W12" i="1"/>
  <c r="X12" i="1"/>
  <c r="Y12" i="1"/>
  <c r="Z12" i="1"/>
  <c r="AA12" i="1"/>
  <c r="AB12" i="1"/>
  <c r="AC12" i="1"/>
  <c r="V13" i="1"/>
  <c r="W13" i="1"/>
  <c r="X13" i="1"/>
  <c r="Y13" i="1"/>
  <c r="Z13" i="1"/>
  <c r="AA13" i="1"/>
  <c r="AB13" i="1"/>
  <c r="AC13" i="1"/>
  <c r="V14" i="1"/>
  <c r="W14" i="1"/>
  <c r="X14" i="1"/>
  <c r="Y14" i="1"/>
  <c r="Z14" i="1"/>
  <c r="AA14" i="1"/>
  <c r="AB14" i="1"/>
  <c r="AC14" i="1"/>
  <c r="V15" i="1"/>
  <c r="W15" i="1"/>
  <c r="X15" i="1"/>
  <c r="Y15" i="1"/>
  <c r="Z15" i="1"/>
  <c r="AA15" i="1"/>
  <c r="AB15" i="1"/>
  <c r="AC15" i="1"/>
  <c r="V16" i="1"/>
  <c r="W16" i="1"/>
  <c r="X16" i="1"/>
  <c r="Y16" i="1"/>
  <c r="Z16" i="1"/>
  <c r="AA16" i="1"/>
  <c r="AB16" i="1"/>
  <c r="AC16" i="1"/>
  <c r="V17" i="1"/>
  <c r="W17" i="1"/>
  <c r="X17" i="1"/>
  <c r="Y17" i="1"/>
  <c r="Z17" i="1"/>
  <c r="AA17" i="1"/>
  <c r="AB17" i="1"/>
  <c r="AC17" i="1"/>
  <c r="V18" i="1"/>
  <c r="W18" i="1"/>
  <c r="X18" i="1"/>
  <c r="Y18" i="1"/>
  <c r="Z18" i="1"/>
  <c r="AA18" i="1"/>
  <c r="AB18" i="1"/>
  <c r="AC18" i="1"/>
  <c r="V19" i="1"/>
  <c r="W19" i="1"/>
  <c r="X19" i="1"/>
  <c r="Y19" i="1"/>
  <c r="Z19" i="1"/>
  <c r="AA19" i="1"/>
  <c r="AB19" i="1"/>
  <c r="AC19" i="1"/>
  <c r="V20" i="1"/>
  <c r="W20" i="1"/>
  <c r="X20" i="1"/>
  <c r="Y20" i="1"/>
  <c r="Z20" i="1"/>
  <c r="AA20" i="1"/>
  <c r="AB20" i="1"/>
  <c r="AC20" i="1"/>
  <c r="V21" i="1"/>
  <c r="W21" i="1"/>
  <c r="X21" i="1"/>
  <c r="Y21" i="1"/>
  <c r="Z21" i="1"/>
  <c r="AA21" i="1"/>
  <c r="AB21" i="1"/>
  <c r="AC21" i="1"/>
  <c r="V22" i="1"/>
  <c r="W22" i="1"/>
  <c r="X22" i="1"/>
  <c r="Y22" i="1"/>
  <c r="Z22" i="1"/>
  <c r="AA22" i="1"/>
  <c r="AB22" i="1"/>
  <c r="AC22" i="1"/>
  <c r="V23" i="1"/>
  <c r="W23" i="1"/>
  <c r="X23" i="1"/>
  <c r="Y23" i="1"/>
  <c r="Z23" i="1"/>
  <c r="AA23" i="1"/>
  <c r="AB23" i="1"/>
  <c r="AC23" i="1"/>
  <c r="V24" i="1"/>
  <c r="W24" i="1"/>
  <c r="X24" i="1"/>
  <c r="Y24" i="1"/>
  <c r="Z24" i="1"/>
  <c r="AA24" i="1"/>
  <c r="AB24" i="1"/>
  <c r="AC24" i="1"/>
  <c r="V25" i="1"/>
  <c r="W25" i="1"/>
  <c r="X25" i="1"/>
  <c r="Y25" i="1"/>
  <c r="Z25" i="1"/>
  <c r="AA25" i="1"/>
  <c r="AB25" i="1"/>
  <c r="AC25" i="1"/>
  <c r="V26" i="1"/>
  <c r="W26" i="1"/>
  <c r="X26" i="1"/>
  <c r="Y26" i="1"/>
  <c r="Z26" i="1"/>
  <c r="AA26" i="1"/>
  <c r="AB26" i="1"/>
  <c r="AC26" i="1"/>
  <c r="V27" i="1"/>
  <c r="W27" i="1"/>
  <c r="X27" i="1"/>
  <c r="Y27" i="1"/>
  <c r="Z27" i="1"/>
  <c r="AA27" i="1"/>
  <c r="AB27" i="1"/>
  <c r="AC27" i="1"/>
  <c r="V28" i="1"/>
  <c r="W28" i="1"/>
  <c r="X28" i="1"/>
  <c r="Y28" i="1"/>
  <c r="Z28" i="1"/>
  <c r="AA28" i="1"/>
  <c r="AB28" i="1"/>
  <c r="AC28" i="1"/>
  <c r="V29" i="1"/>
  <c r="W29" i="1"/>
  <c r="X29" i="1"/>
  <c r="Y29" i="1"/>
  <c r="Z29" i="1"/>
  <c r="AA29" i="1"/>
  <c r="AB29" i="1"/>
  <c r="AC29" i="1"/>
  <c r="V30" i="1"/>
  <c r="W30" i="1"/>
  <c r="X30" i="1"/>
  <c r="Y30" i="1"/>
  <c r="Z30" i="1"/>
  <c r="AA30" i="1"/>
  <c r="AB30" i="1"/>
  <c r="AC30" i="1"/>
  <c r="V31" i="1"/>
  <c r="W31" i="1"/>
  <c r="X31" i="1"/>
  <c r="Y31" i="1"/>
  <c r="Z31" i="1"/>
  <c r="AA31" i="1"/>
  <c r="AB31" i="1"/>
  <c r="AC31" i="1"/>
  <c r="V32" i="1"/>
  <c r="W32" i="1"/>
  <c r="X32" i="1"/>
  <c r="Y32" i="1"/>
  <c r="Z32" i="1"/>
  <c r="AA32" i="1"/>
  <c r="AB32" i="1"/>
  <c r="AC32" i="1"/>
  <c r="V33" i="1"/>
  <c r="W33" i="1"/>
  <c r="X33" i="1"/>
  <c r="Y33" i="1"/>
  <c r="Z33" i="1"/>
  <c r="AA33" i="1"/>
  <c r="AB33" i="1"/>
  <c r="AC33" i="1"/>
  <c r="V34" i="1"/>
  <c r="W34" i="1"/>
  <c r="X34" i="1"/>
  <c r="Y34" i="1"/>
  <c r="Z34" i="1"/>
  <c r="AA34" i="1"/>
  <c r="AB34" i="1"/>
  <c r="AC34" i="1"/>
  <c r="V35" i="1"/>
  <c r="W35" i="1"/>
  <c r="X35" i="1"/>
  <c r="Y35" i="1"/>
  <c r="Z35" i="1"/>
  <c r="AA35" i="1"/>
  <c r="AB35" i="1"/>
  <c r="AC35" i="1"/>
  <c r="V3" i="1"/>
  <c r="W3" i="1"/>
  <c r="X3" i="1"/>
  <c r="Y3" i="1"/>
  <c r="Z3" i="1"/>
  <c r="AA3" i="1"/>
  <c r="AB3" i="1"/>
  <c r="AC3" i="1"/>
  <c r="V4" i="1"/>
  <c r="W4" i="1"/>
  <c r="X4" i="1"/>
  <c r="Y4" i="1"/>
  <c r="Z4" i="1"/>
  <c r="AA4" i="1"/>
  <c r="AB4" i="1"/>
  <c r="AC4" i="1"/>
  <c r="V5" i="1"/>
  <c r="W5" i="1"/>
  <c r="X5" i="1"/>
  <c r="Y5" i="1"/>
  <c r="Z5" i="1"/>
  <c r="AA5" i="1"/>
  <c r="AB5" i="1"/>
  <c r="AC5" i="1"/>
  <c r="V6" i="1"/>
  <c r="W6" i="1"/>
  <c r="X6" i="1"/>
  <c r="Y6" i="1"/>
  <c r="Z6" i="1"/>
  <c r="AA6" i="1"/>
  <c r="AB6" i="1"/>
  <c r="AC6" i="1"/>
  <c r="V7" i="1"/>
  <c r="W7" i="1"/>
  <c r="X7" i="1"/>
  <c r="Y7" i="1"/>
  <c r="Z7" i="1"/>
  <c r="AA7" i="1"/>
  <c r="AB7" i="1"/>
  <c r="AC7" i="1"/>
  <c r="V8" i="1"/>
  <c r="W8" i="1"/>
  <c r="X8" i="1"/>
  <c r="Y8" i="1"/>
  <c r="Z8" i="1"/>
  <c r="AA8" i="1"/>
  <c r="AB8" i="1"/>
  <c r="AC8" i="1"/>
  <c r="V9" i="1"/>
  <c r="W9" i="1"/>
  <c r="X9" i="1"/>
  <c r="Y9" i="1"/>
  <c r="Z9" i="1"/>
  <c r="AA9" i="1"/>
  <c r="AB9" i="1"/>
  <c r="AC9" i="1"/>
  <c r="V10" i="1"/>
  <c r="W10" i="1"/>
  <c r="X10" i="1"/>
  <c r="Y10" i="1"/>
  <c r="Z10" i="1"/>
  <c r="AA10" i="1"/>
  <c r="AB10" i="1"/>
  <c r="AC10" i="1"/>
  <c r="V11" i="1"/>
  <c r="W11" i="1"/>
  <c r="X11" i="1"/>
  <c r="Y11" i="1"/>
  <c r="Z11" i="1"/>
  <c r="AA11" i="1"/>
  <c r="AB11" i="1"/>
  <c r="AC11" i="1"/>
  <c r="AB2" i="1"/>
  <c r="AC2" i="1"/>
  <c r="AA2" i="1"/>
  <c r="Y2" i="1"/>
  <c r="Z2" i="1"/>
  <c r="X2" i="1"/>
  <c r="W2" i="1"/>
  <c r="V2" i="1"/>
</calcChain>
</file>

<file path=xl/sharedStrings.xml><?xml version="1.0" encoding="utf-8"?>
<sst xmlns="http://schemas.openxmlformats.org/spreadsheetml/2006/main" count="104" uniqueCount="18">
  <si>
    <t>CTRL_Count</t>
  </si>
  <si>
    <t>Model</t>
  </si>
  <si>
    <t>RMSE</t>
  </si>
  <si>
    <t>MAE</t>
  </si>
  <si>
    <t>Hausdorff_max</t>
  </si>
  <si>
    <t>Chamfer_mean</t>
  </si>
  <si>
    <t>Length_Error</t>
  </si>
  <si>
    <t>Width_Error</t>
  </si>
  <si>
    <t>IoU</t>
  </si>
  <si>
    <t>Dice</t>
  </si>
  <si>
    <t>PCA_KRR</t>
  </si>
  <si>
    <t>PCA_LINEAR</t>
  </si>
  <si>
    <t>PCA_SVR</t>
  </si>
  <si>
    <t>PURE_GPR</t>
  </si>
  <si>
    <t>PURE_KRR</t>
  </si>
  <si>
    <t>PURE_SVR</t>
  </si>
  <si>
    <t>RATIO_CTRL</t>
  </si>
  <si>
    <t>RATIO_CTRL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</si>
</sst>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표준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5"/>
  <sheetViews>
    <sheetView tabSelected="1" topLeftCell="D2" workbookViewId="0">
      <selection activeCell="W43" sqref="W43"/>
    </sheetView>
  </sheetViews>
  <sheetFormatPr defaultRowHeight="16.5" x14ac:dyDescent="0.3"/>
  <cols>
    <col min="1" max="12" width="15.625" customWidth="1"/>
    <col min="14" max="14" width="9.5" customWidth="1"/>
  </cols>
  <sheetData>
    <row r="1" spans="1:29" ht="18" thickBot="1" x14ac:dyDescent="0.35">
      <c r="A1" s="6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s="4"/>
    </row>
    <row r="2" spans="1:29" ht="17.25" thickBot="1" x14ac:dyDescent="0.35">
      <c r="A2" s="1">
        <v>10</v>
      </c>
      <c r="B2" s="2" t="s">
        <v>10</v>
      </c>
      <c r="C2" s="2">
        <v>32.244619999999998</v>
      </c>
      <c r="D2" s="2">
        <v>29.16741</v>
      </c>
      <c r="E2" s="2">
        <v>15.39486</v>
      </c>
      <c r="F2" s="2">
        <v>4.33284</v>
      </c>
      <c r="G2" s="2">
        <v>23.470829999999999</v>
      </c>
      <c r="H2" s="2">
        <v>3.1151200000000001</v>
      </c>
      <c r="I2" s="2">
        <v>0.83692</v>
      </c>
      <c r="J2" s="2">
        <v>0.91083999999999998</v>
      </c>
      <c r="K2" s="7">
        <v>10</v>
      </c>
      <c r="L2" s="7" t="s">
        <v>10</v>
      </c>
      <c r="M2" s="7">
        <v>33.602200000000003</v>
      </c>
      <c r="N2" s="7">
        <v>30.43505</v>
      </c>
      <c r="O2" s="7">
        <v>14.78214</v>
      </c>
      <c r="P2" s="7">
        <v>4.1005599999999998</v>
      </c>
      <c r="Q2" s="7">
        <v>18.294630000000002</v>
      </c>
      <c r="R2" s="7">
        <v>1.96546</v>
      </c>
      <c r="S2" s="7">
        <v>0.84750999999999999</v>
      </c>
      <c r="T2" s="7">
        <v>0.91713</v>
      </c>
      <c r="V2">
        <f>AVERAGE(C2,M2)</f>
        <v>32.923410000000004</v>
      </c>
      <c r="W2">
        <f>AVERAGE(D2,N2)</f>
        <v>29.80123</v>
      </c>
      <c r="X2">
        <f>AVERAGE(E2,O2)</f>
        <v>15.0885</v>
      </c>
      <c r="Y2">
        <f>AVERAGE(F2,P2)</f>
        <v>4.2166999999999994</v>
      </c>
      <c r="Z2">
        <f>AVERAGE(G2,Q2)</f>
        <v>20.882730000000002</v>
      </c>
      <c r="AA2">
        <f>AVERAGE(H2,R2)</f>
        <v>2.5402900000000002</v>
      </c>
      <c r="AB2">
        <f>AVERAGE(I2,S2)</f>
        <v>0.84221499999999994</v>
      </c>
      <c r="AC2">
        <f>AVERAGE(J2,T2)</f>
        <v>0.91398500000000005</v>
      </c>
    </row>
    <row r="3" spans="1:29" x14ac:dyDescent="0.3">
      <c r="A3">
        <v>20</v>
      </c>
      <c r="B3" t="s">
        <v>10</v>
      </c>
      <c r="C3">
        <v>16.314609999999998</v>
      </c>
      <c r="D3">
        <v>15.22818</v>
      </c>
      <c r="E3">
        <v>6.0230800000000002</v>
      </c>
      <c r="F3">
        <v>1.7050000000000001</v>
      </c>
      <c r="G3">
        <v>10.31601</v>
      </c>
      <c r="H3">
        <v>1.59978</v>
      </c>
      <c r="I3">
        <v>0.93572999999999995</v>
      </c>
      <c r="J3">
        <v>0.96669000000000005</v>
      </c>
      <c r="K3" s="7">
        <v>20</v>
      </c>
      <c r="L3" s="7" t="s">
        <v>10</v>
      </c>
      <c r="M3" s="7">
        <v>17.102509999999999</v>
      </c>
      <c r="N3" s="7">
        <v>16.005469999999999</v>
      </c>
      <c r="O3" s="7">
        <v>6.4811100000000001</v>
      </c>
      <c r="P3" s="7">
        <v>1.97905</v>
      </c>
      <c r="Q3" s="7">
        <v>11.7065</v>
      </c>
      <c r="R3" s="7">
        <v>1.5296000000000001</v>
      </c>
      <c r="S3" s="7">
        <v>0.92813000000000001</v>
      </c>
      <c r="T3" s="7">
        <v>0.96253</v>
      </c>
      <c r="V3">
        <f t="shared" ref="V3:V12" si="0">AVERAGE(C3,M3)</f>
        <v>16.708559999999999</v>
      </c>
      <c r="W3">
        <f t="shared" ref="W3:W12" si="1">AVERAGE(D3,N3)</f>
        <v>15.616824999999999</v>
      </c>
      <c r="X3">
        <f t="shared" ref="X3:X12" si="2">AVERAGE(E3,O3)</f>
        <v>6.2520950000000006</v>
      </c>
      <c r="Y3">
        <f t="shared" ref="Y3:Y12" si="3">AVERAGE(F3,P3)</f>
        <v>1.842025</v>
      </c>
      <c r="Z3">
        <f t="shared" ref="Z3:Z12" si="4">AVERAGE(G3,Q3)</f>
        <v>11.011255</v>
      </c>
      <c r="AA3">
        <f t="shared" ref="AA3:AA12" si="5">AVERAGE(H3,R3)</f>
        <v>1.5646900000000001</v>
      </c>
      <c r="AB3">
        <f t="shared" ref="AB3:AB12" si="6">AVERAGE(I3,S3)</f>
        <v>0.93192999999999993</v>
      </c>
      <c r="AC3">
        <f t="shared" ref="AC3:AC12" si="7">AVERAGE(J3,T3)</f>
        <v>0.96460999999999997</v>
      </c>
    </row>
    <row r="4" spans="1:29" x14ac:dyDescent="0.3">
      <c r="A4">
        <v>30</v>
      </c>
      <c r="B4" t="s">
        <v>10</v>
      </c>
      <c r="C4">
        <v>11.194290000000001</v>
      </c>
      <c r="D4">
        <v>10.27012</v>
      </c>
      <c r="E4">
        <v>3.9535300000000002</v>
      </c>
      <c r="F4">
        <v>1.3669800000000001</v>
      </c>
      <c r="G4">
        <v>5.8789600000000002</v>
      </c>
      <c r="H4">
        <v>0.97770000000000001</v>
      </c>
      <c r="I4">
        <v>0.94086000000000003</v>
      </c>
      <c r="J4">
        <v>0.96940000000000004</v>
      </c>
      <c r="K4" s="7">
        <v>30</v>
      </c>
      <c r="L4" s="7" t="s">
        <v>10</v>
      </c>
      <c r="M4" s="7">
        <v>12.001379999999999</v>
      </c>
      <c r="N4" s="7">
        <v>11.247529999999999</v>
      </c>
      <c r="O4" s="7">
        <v>4.7732200000000002</v>
      </c>
      <c r="P4" s="7">
        <v>1.5764</v>
      </c>
      <c r="Q4" s="7">
        <v>9.4769000000000005</v>
      </c>
      <c r="R4" s="7">
        <v>1.5172099999999999</v>
      </c>
      <c r="S4" s="7">
        <v>0.93677999999999995</v>
      </c>
      <c r="T4" s="7">
        <v>0.96719999999999995</v>
      </c>
      <c r="V4">
        <f t="shared" si="0"/>
        <v>11.597835</v>
      </c>
      <c r="W4">
        <f t="shared" si="1"/>
        <v>10.758825</v>
      </c>
      <c r="X4">
        <f t="shared" si="2"/>
        <v>4.3633750000000004</v>
      </c>
      <c r="Y4">
        <f t="shared" si="3"/>
        <v>1.4716900000000002</v>
      </c>
      <c r="Z4">
        <f t="shared" si="4"/>
        <v>7.6779299999999999</v>
      </c>
      <c r="AA4">
        <f t="shared" si="5"/>
        <v>1.247455</v>
      </c>
      <c r="AB4">
        <f t="shared" si="6"/>
        <v>0.93881999999999999</v>
      </c>
      <c r="AC4">
        <f t="shared" si="7"/>
        <v>0.96829999999999994</v>
      </c>
    </row>
    <row r="5" spans="1:29" x14ac:dyDescent="0.3">
      <c r="A5">
        <v>40</v>
      </c>
      <c r="B5" t="s">
        <v>10</v>
      </c>
      <c r="C5">
        <v>8.7992899999999992</v>
      </c>
      <c r="D5">
        <v>8.0154800000000002</v>
      </c>
      <c r="E5">
        <v>3.7576200000000002</v>
      </c>
      <c r="F5">
        <v>1.27383</v>
      </c>
      <c r="G5">
        <v>4.6134899999999996</v>
      </c>
      <c r="H5">
        <v>0.87131999999999998</v>
      </c>
      <c r="I5">
        <v>0.94535999999999998</v>
      </c>
      <c r="J5">
        <v>0.97175999999999996</v>
      </c>
      <c r="K5" s="7">
        <v>40</v>
      </c>
      <c r="L5" s="7" t="s">
        <v>10</v>
      </c>
      <c r="M5" s="7">
        <v>9.6489399999999996</v>
      </c>
      <c r="N5" s="7">
        <v>9.0174500000000002</v>
      </c>
      <c r="O5" s="7">
        <v>4.5993000000000004</v>
      </c>
      <c r="P5" s="7">
        <v>1.4522200000000001</v>
      </c>
      <c r="Q5" s="7">
        <v>8.9957899999999995</v>
      </c>
      <c r="R5" s="7">
        <v>1.5042800000000001</v>
      </c>
      <c r="S5" s="7">
        <v>0.94172999999999996</v>
      </c>
      <c r="T5" s="7">
        <v>0.96980999999999995</v>
      </c>
      <c r="V5">
        <f t="shared" si="0"/>
        <v>9.2241149999999994</v>
      </c>
      <c r="W5">
        <f t="shared" si="1"/>
        <v>8.5164650000000002</v>
      </c>
      <c r="X5">
        <f t="shared" si="2"/>
        <v>4.1784600000000003</v>
      </c>
      <c r="Y5">
        <f t="shared" si="3"/>
        <v>1.3630249999999999</v>
      </c>
      <c r="Z5">
        <f t="shared" si="4"/>
        <v>6.8046399999999991</v>
      </c>
      <c r="AA5">
        <f t="shared" si="5"/>
        <v>1.1878</v>
      </c>
      <c r="AB5">
        <f t="shared" si="6"/>
        <v>0.94354499999999997</v>
      </c>
      <c r="AC5">
        <f t="shared" si="7"/>
        <v>0.97078500000000001</v>
      </c>
    </row>
    <row r="6" spans="1:29" x14ac:dyDescent="0.3">
      <c r="A6">
        <v>50</v>
      </c>
      <c r="B6" t="s">
        <v>10</v>
      </c>
      <c r="C6">
        <v>7.5524800000000001</v>
      </c>
      <c r="D6">
        <v>6.8397399999999999</v>
      </c>
      <c r="E6">
        <v>3.8294800000000002</v>
      </c>
      <c r="F6">
        <v>1.2546999999999999</v>
      </c>
      <c r="G6">
        <v>4.8151700000000002</v>
      </c>
      <c r="H6">
        <v>0.86172000000000004</v>
      </c>
      <c r="I6">
        <v>0.94577999999999995</v>
      </c>
      <c r="J6">
        <v>0.97194000000000003</v>
      </c>
      <c r="K6" s="7">
        <v>50</v>
      </c>
      <c r="L6" s="7" t="s">
        <v>10</v>
      </c>
      <c r="M6" s="7">
        <v>8.1969700000000003</v>
      </c>
      <c r="N6" s="7">
        <v>7.6399699999999999</v>
      </c>
      <c r="O6" s="7">
        <v>4.5236900000000002</v>
      </c>
      <c r="P6" s="7">
        <v>1.4394800000000001</v>
      </c>
      <c r="Q6" s="7">
        <v>9.25793</v>
      </c>
      <c r="R6" s="7">
        <v>1.4824600000000001</v>
      </c>
      <c r="S6" s="7">
        <v>0.94389999999999996</v>
      </c>
      <c r="T6" s="7">
        <v>0.97096000000000005</v>
      </c>
      <c r="V6">
        <f t="shared" si="0"/>
        <v>7.8747249999999998</v>
      </c>
      <c r="W6">
        <f t="shared" si="1"/>
        <v>7.2398550000000004</v>
      </c>
      <c r="X6">
        <f t="shared" si="2"/>
        <v>4.1765850000000002</v>
      </c>
      <c r="Y6">
        <f t="shared" si="3"/>
        <v>1.3470900000000001</v>
      </c>
      <c r="Z6">
        <f t="shared" si="4"/>
        <v>7.0365500000000001</v>
      </c>
      <c r="AA6">
        <f t="shared" si="5"/>
        <v>1.1720900000000001</v>
      </c>
      <c r="AB6">
        <f t="shared" si="6"/>
        <v>0.9448399999999999</v>
      </c>
      <c r="AC6">
        <f t="shared" si="7"/>
        <v>0.97145000000000004</v>
      </c>
    </row>
    <row r="7" spans="1:29" x14ac:dyDescent="0.3">
      <c r="A7">
        <v>60</v>
      </c>
      <c r="B7" t="s">
        <v>10</v>
      </c>
      <c r="C7">
        <v>6.61517</v>
      </c>
      <c r="D7">
        <v>5.9711699999999999</v>
      </c>
      <c r="E7">
        <v>3.8182200000000002</v>
      </c>
      <c r="F7">
        <v>1.25464</v>
      </c>
      <c r="G7">
        <v>4.5812200000000001</v>
      </c>
      <c r="H7">
        <v>0.87616000000000005</v>
      </c>
      <c r="I7">
        <v>0.94674999999999998</v>
      </c>
      <c r="J7">
        <v>0.97246999999999995</v>
      </c>
      <c r="K7" s="7">
        <v>60</v>
      </c>
      <c r="L7" s="7" t="s">
        <v>10</v>
      </c>
      <c r="M7" s="7">
        <v>7.2504</v>
      </c>
      <c r="N7" s="7">
        <v>6.74221</v>
      </c>
      <c r="O7" s="7">
        <v>4.5468500000000001</v>
      </c>
      <c r="P7" s="7">
        <v>1.43893</v>
      </c>
      <c r="Q7" s="7">
        <v>9.3450399999999991</v>
      </c>
      <c r="R7" s="7">
        <v>1.4655400000000001</v>
      </c>
      <c r="S7" s="7">
        <v>0.94406999999999996</v>
      </c>
      <c r="T7" s="7">
        <v>0.97104999999999997</v>
      </c>
      <c r="V7">
        <f t="shared" si="0"/>
        <v>6.932785</v>
      </c>
      <c r="W7">
        <f t="shared" si="1"/>
        <v>6.3566900000000004</v>
      </c>
      <c r="X7">
        <f t="shared" si="2"/>
        <v>4.1825349999999997</v>
      </c>
      <c r="Y7">
        <f t="shared" si="3"/>
        <v>1.3467850000000001</v>
      </c>
      <c r="Z7">
        <f t="shared" si="4"/>
        <v>6.9631299999999996</v>
      </c>
      <c r="AA7">
        <f t="shared" si="5"/>
        <v>1.1708500000000002</v>
      </c>
      <c r="AB7">
        <f t="shared" si="6"/>
        <v>0.94540999999999997</v>
      </c>
      <c r="AC7">
        <f t="shared" si="7"/>
        <v>0.97175999999999996</v>
      </c>
    </row>
    <row r="8" spans="1:29" ht="17.25" thickBot="1" x14ac:dyDescent="0.35">
      <c r="A8">
        <v>70</v>
      </c>
      <c r="B8" t="s">
        <v>10</v>
      </c>
      <c r="C8">
        <v>5.8532200000000003</v>
      </c>
      <c r="D8">
        <v>5.2739599999999998</v>
      </c>
      <c r="E8">
        <v>3.8142200000000002</v>
      </c>
      <c r="F8">
        <v>1.2524299999999999</v>
      </c>
      <c r="G8">
        <v>4.5121099999999998</v>
      </c>
      <c r="H8">
        <v>0.88717000000000001</v>
      </c>
      <c r="I8">
        <v>0.94750999999999996</v>
      </c>
      <c r="J8">
        <v>0.97287000000000001</v>
      </c>
      <c r="K8" s="7">
        <v>70</v>
      </c>
      <c r="L8" s="7" t="s">
        <v>10</v>
      </c>
      <c r="M8" s="7">
        <v>6.8399099999999997</v>
      </c>
      <c r="N8" s="7">
        <v>6.25631</v>
      </c>
      <c r="O8" s="7">
        <v>4.73062</v>
      </c>
      <c r="P8" s="7">
        <v>1.4381200000000001</v>
      </c>
      <c r="Q8" s="7">
        <v>9.8484300000000005</v>
      </c>
      <c r="R8" s="7">
        <v>1.4964999999999999</v>
      </c>
      <c r="S8" s="7">
        <v>0.93327000000000004</v>
      </c>
      <c r="T8" s="7">
        <v>0.96513000000000004</v>
      </c>
      <c r="V8">
        <f t="shared" si="0"/>
        <v>6.346565</v>
      </c>
      <c r="W8">
        <f t="shared" si="1"/>
        <v>5.7651349999999999</v>
      </c>
      <c r="X8">
        <f t="shared" si="2"/>
        <v>4.2724200000000003</v>
      </c>
      <c r="Y8">
        <f t="shared" si="3"/>
        <v>1.345275</v>
      </c>
      <c r="Z8">
        <f t="shared" si="4"/>
        <v>7.1802700000000002</v>
      </c>
      <c r="AA8">
        <f t="shared" si="5"/>
        <v>1.191835</v>
      </c>
      <c r="AB8">
        <f t="shared" si="6"/>
        <v>0.94039000000000006</v>
      </c>
      <c r="AC8">
        <f t="shared" si="7"/>
        <v>0.96900000000000008</v>
      </c>
    </row>
    <row r="9" spans="1:29" ht="17.25" thickBot="1" x14ac:dyDescent="0.35">
      <c r="A9" s="1">
        <v>10</v>
      </c>
      <c r="B9" s="2" t="s">
        <v>11</v>
      </c>
      <c r="C9" s="2">
        <v>31.9359</v>
      </c>
      <c r="D9" s="2">
        <v>28.938279999999999</v>
      </c>
      <c r="E9" s="2">
        <v>15.51651</v>
      </c>
      <c r="F9" s="2">
        <v>4.5249800000000002</v>
      </c>
      <c r="G9" s="2">
        <v>25.665679999999998</v>
      </c>
      <c r="H9" s="2">
        <v>3.2875200000000002</v>
      </c>
      <c r="I9" s="2">
        <v>0.83111000000000002</v>
      </c>
      <c r="J9" s="2">
        <v>0.90737000000000001</v>
      </c>
      <c r="K9" s="9">
        <v>10</v>
      </c>
      <c r="L9" s="10" t="s">
        <v>11</v>
      </c>
      <c r="M9" s="10">
        <v>33.442230000000002</v>
      </c>
      <c r="N9" s="10">
        <v>30.317769999999999</v>
      </c>
      <c r="O9" s="10">
        <v>14.6884</v>
      </c>
      <c r="P9" s="10">
        <v>4.0887900000000004</v>
      </c>
      <c r="Q9" s="10">
        <v>19.554040000000001</v>
      </c>
      <c r="R9" s="10">
        <v>2.1708400000000001</v>
      </c>
      <c r="S9" s="10">
        <v>0.84528000000000003</v>
      </c>
      <c r="T9" s="11">
        <v>0.91579999999999995</v>
      </c>
      <c r="V9">
        <f t="shared" si="0"/>
        <v>32.689064999999999</v>
      </c>
      <c r="W9">
        <f t="shared" si="1"/>
        <v>29.628025000000001</v>
      </c>
      <c r="X9">
        <f t="shared" si="2"/>
        <v>15.102454999999999</v>
      </c>
      <c r="Y9">
        <f t="shared" si="3"/>
        <v>4.3068850000000003</v>
      </c>
      <c r="Z9">
        <f t="shared" si="4"/>
        <v>22.609859999999998</v>
      </c>
      <c r="AA9">
        <f t="shared" si="5"/>
        <v>2.7291800000000004</v>
      </c>
      <c r="AB9">
        <f t="shared" si="6"/>
        <v>0.83819500000000002</v>
      </c>
      <c r="AC9">
        <f t="shared" si="7"/>
        <v>0.91158499999999998</v>
      </c>
    </row>
    <row r="10" spans="1:29" x14ac:dyDescent="0.3">
      <c r="A10">
        <v>20</v>
      </c>
      <c r="B10" t="s">
        <v>11</v>
      </c>
      <c r="C10">
        <v>16.392029999999998</v>
      </c>
      <c r="D10">
        <v>15.32288</v>
      </c>
      <c r="E10">
        <v>6.1354100000000003</v>
      </c>
      <c r="F10">
        <v>1.66151</v>
      </c>
      <c r="G10">
        <v>10.84041</v>
      </c>
      <c r="H10">
        <v>1.4946600000000001</v>
      </c>
      <c r="I10">
        <v>0.93698000000000004</v>
      </c>
      <c r="J10">
        <v>0.96738000000000002</v>
      </c>
      <c r="K10" s="7">
        <v>20</v>
      </c>
      <c r="L10" s="7" t="s">
        <v>11</v>
      </c>
      <c r="M10" s="7">
        <v>16.88025</v>
      </c>
      <c r="N10" s="7">
        <v>15.84051</v>
      </c>
      <c r="O10" s="7">
        <v>6.3525900000000002</v>
      </c>
      <c r="P10" s="7">
        <v>1.95912</v>
      </c>
      <c r="Q10" s="7">
        <v>12.48973</v>
      </c>
      <c r="R10" s="7">
        <v>1.64832</v>
      </c>
      <c r="S10" s="7">
        <v>0.92937999999999998</v>
      </c>
      <c r="T10" s="7">
        <v>0.96321000000000001</v>
      </c>
      <c r="V10">
        <f t="shared" si="0"/>
        <v>16.636139999999997</v>
      </c>
      <c r="W10">
        <f t="shared" si="1"/>
        <v>15.581695</v>
      </c>
      <c r="X10">
        <f t="shared" si="2"/>
        <v>6.2439999999999998</v>
      </c>
      <c r="Y10">
        <f t="shared" si="3"/>
        <v>1.8103150000000001</v>
      </c>
      <c r="Z10">
        <f t="shared" si="4"/>
        <v>11.66507</v>
      </c>
      <c r="AA10">
        <f t="shared" si="5"/>
        <v>1.5714900000000001</v>
      </c>
      <c r="AB10">
        <f t="shared" si="6"/>
        <v>0.93318000000000001</v>
      </c>
      <c r="AC10">
        <f t="shared" si="7"/>
        <v>0.96529500000000001</v>
      </c>
    </row>
    <row r="11" spans="1:29" x14ac:dyDescent="0.3">
      <c r="A11">
        <v>30</v>
      </c>
      <c r="B11" t="s">
        <v>11</v>
      </c>
      <c r="C11">
        <v>11.133850000000001</v>
      </c>
      <c r="D11">
        <v>10.25825</v>
      </c>
      <c r="E11">
        <v>3.8141400000000001</v>
      </c>
      <c r="F11">
        <v>1.3021100000000001</v>
      </c>
      <c r="G11">
        <v>5.70261</v>
      </c>
      <c r="H11">
        <v>0.90219000000000005</v>
      </c>
      <c r="I11">
        <v>0.94342999999999999</v>
      </c>
      <c r="J11">
        <v>0.97079000000000004</v>
      </c>
      <c r="K11" s="7">
        <v>30</v>
      </c>
      <c r="L11" s="7" t="s">
        <v>11</v>
      </c>
      <c r="M11" s="7">
        <v>11.88485</v>
      </c>
      <c r="N11" s="7">
        <v>11.165150000000001</v>
      </c>
      <c r="O11" s="7">
        <v>4.6691099999999999</v>
      </c>
      <c r="P11" s="7">
        <v>1.52122</v>
      </c>
      <c r="Q11" s="7">
        <v>10.06442</v>
      </c>
      <c r="R11" s="7">
        <v>1.4647399999999999</v>
      </c>
      <c r="S11" s="7">
        <v>0.93908000000000003</v>
      </c>
      <c r="T11" s="7">
        <v>0.96840000000000004</v>
      </c>
      <c r="V11">
        <f t="shared" si="0"/>
        <v>11.509350000000001</v>
      </c>
      <c r="W11">
        <f t="shared" si="1"/>
        <v>10.7117</v>
      </c>
      <c r="X11">
        <f t="shared" si="2"/>
        <v>4.241625</v>
      </c>
      <c r="Y11">
        <f t="shared" si="3"/>
        <v>1.4116650000000002</v>
      </c>
      <c r="Z11">
        <f t="shared" si="4"/>
        <v>7.8835150000000001</v>
      </c>
      <c r="AA11">
        <f t="shared" si="5"/>
        <v>1.183465</v>
      </c>
      <c r="AB11">
        <f t="shared" si="6"/>
        <v>0.94125499999999995</v>
      </c>
      <c r="AC11">
        <f t="shared" si="7"/>
        <v>0.96959499999999998</v>
      </c>
    </row>
    <row r="12" spans="1:29" x14ac:dyDescent="0.3">
      <c r="A12">
        <v>40</v>
      </c>
      <c r="B12" t="s">
        <v>11</v>
      </c>
      <c r="C12">
        <v>8.7138100000000005</v>
      </c>
      <c r="D12">
        <v>7.9796699999999996</v>
      </c>
      <c r="E12">
        <v>3.69767</v>
      </c>
      <c r="F12">
        <v>1.22081</v>
      </c>
      <c r="G12">
        <v>4.4253400000000003</v>
      </c>
      <c r="H12">
        <v>0.85226000000000002</v>
      </c>
      <c r="I12">
        <v>0.94716</v>
      </c>
      <c r="J12">
        <v>0.97275</v>
      </c>
      <c r="K12" s="7">
        <v>40</v>
      </c>
      <c r="L12" s="7" t="s">
        <v>11</v>
      </c>
      <c r="M12" s="7">
        <v>9.5143299999999993</v>
      </c>
      <c r="N12" s="7">
        <v>8.9327900000000007</v>
      </c>
      <c r="O12" s="7">
        <v>4.4362199999999996</v>
      </c>
      <c r="P12" s="7">
        <v>1.3821099999999999</v>
      </c>
      <c r="Q12" s="7">
        <v>9.3143700000000003</v>
      </c>
      <c r="R12" s="7">
        <v>1.4284699999999999</v>
      </c>
      <c r="S12" s="7">
        <v>0.94377999999999995</v>
      </c>
      <c r="T12" s="7">
        <v>0.97087000000000001</v>
      </c>
      <c r="V12">
        <f t="shared" si="0"/>
        <v>9.1140699999999999</v>
      </c>
      <c r="W12">
        <f t="shared" si="1"/>
        <v>8.4562299999999997</v>
      </c>
      <c r="X12">
        <f t="shared" si="2"/>
        <v>4.0669449999999996</v>
      </c>
      <c r="Y12">
        <f t="shared" si="3"/>
        <v>1.3014600000000001</v>
      </c>
      <c r="Z12">
        <f t="shared" si="4"/>
        <v>6.8698550000000003</v>
      </c>
      <c r="AA12">
        <f t="shared" si="5"/>
        <v>1.1403650000000001</v>
      </c>
      <c r="AB12">
        <f t="shared" si="6"/>
        <v>0.94547000000000003</v>
      </c>
      <c r="AC12">
        <f t="shared" si="7"/>
        <v>0.97181000000000006</v>
      </c>
    </row>
    <row r="13" spans="1:29" x14ac:dyDescent="0.3">
      <c r="A13">
        <v>50</v>
      </c>
      <c r="B13" t="s">
        <v>11</v>
      </c>
      <c r="C13">
        <v>7.4246999999999996</v>
      </c>
      <c r="D13">
        <v>6.7350000000000003</v>
      </c>
      <c r="E13">
        <v>3.72838</v>
      </c>
      <c r="F13">
        <v>1.20082</v>
      </c>
      <c r="G13">
        <v>4.4079300000000003</v>
      </c>
      <c r="H13">
        <v>0.88556000000000001</v>
      </c>
      <c r="I13">
        <v>0.94808000000000003</v>
      </c>
      <c r="J13">
        <v>0.97321000000000002</v>
      </c>
      <c r="K13" s="7">
        <v>50</v>
      </c>
      <c r="L13" s="7" t="s">
        <v>11</v>
      </c>
      <c r="M13" s="7">
        <v>8.0490399999999998</v>
      </c>
      <c r="N13" s="7">
        <v>7.5510900000000003</v>
      </c>
      <c r="O13" s="7">
        <v>4.3984199999999998</v>
      </c>
      <c r="P13" s="7">
        <v>1.3515999999999999</v>
      </c>
      <c r="Q13" s="7">
        <v>9.2038799999999998</v>
      </c>
      <c r="R13" s="7">
        <v>1.41361</v>
      </c>
      <c r="S13" s="7">
        <v>0.94610000000000005</v>
      </c>
      <c r="T13" s="7">
        <v>0.97209999999999996</v>
      </c>
      <c r="V13">
        <f t="shared" ref="V13:V40" si="8">AVERAGE(C13,M13)</f>
        <v>7.7368699999999997</v>
      </c>
      <c r="W13">
        <f t="shared" ref="W13:W40" si="9">AVERAGE(D13,N13)</f>
        <v>7.1430450000000008</v>
      </c>
      <c r="X13">
        <f t="shared" ref="X13:X40" si="10">AVERAGE(E13,O13)</f>
        <v>4.0633999999999997</v>
      </c>
      <c r="Y13">
        <f t="shared" ref="Y13:Y40" si="11">AVERAGE(F13,P13)</f>
        <v>1.2762099999999998</v>
      </c>
      <c r="Z13">
        <f t="shared" ref="Z13:Z40" si="12">AVERAGE(G13,Q13)</f>
        <v>6.8059050000000001</v>
      </c>
      <c r="AA13">
        <f t="shared" ref="AA13:AA40" si="13">AVERAGE(H13,R13)</f>
        <v>1.1495850000000001</v>
      </c>
      <c r="AB13">
        <f t="shared" ref="AB13:AB40" si="14">AVERAGE(I13,S13)</f>
        <v>0.94708999999999999</v>
      </c>
      <c r="AC13">
        <f t="shared" ref="AC13:AC40" si="15">AVERAGE(J13,T13)</f>
        <v>0.97265500000000005</v>
      </c>
    </row>
    <row r="14" spans="1:29" x14ac:dyDescent="0.3">
      <c r="A14">
        <v>60</v>
      </c>
      <c r="B14" t="s">
        <v>11</v>
      </c>
      <c r="C14">
        <v>6.51722</v>
      </c>
      <c r="D14">
        <v>5.8921000000000001</v>
      </c>
      <c r="E14">
        <v>3.7566299999999999</v>
      </c>
      <c r="F14">
        <v>1.20529</v>
      </c>
      <c r="G14">
        <v>4.2480599999999997</v>
      </c>
      <c r="H14">
        <v>0.90956999999999999</v>
      </c>
      <c r="I14">
        <v>0.94903999999999999</v>
      </c>
      <c r="J14">
        <v>0.97372000000000003</v>
      </c>
      <c r="K14" s="7">
        <v>60</v>
      </c>
      <c r="L14" s="7" t="s">
        <v>11</v>
      </c>
      <c r="M14" s="7">
        <v>7.0609799999999998</v>
      </c>
      <c r="N14" s="7">
        <v>6.6166499999999999</v>
      </c>
      <c r="O14" s="7">
        <v>4.3944599999999996</v>
      </c>
      <c r="P14" s="7">
        <v>1.34118</v>
      </c>
      <c r="Q14" s="7">
        <v>9.0919399999999992</v>
      </c>
      <c r="R14" s="7">
        <v>1.40768</v>
      </c>
      <c r="S14" s="7">
        <v>0.94684999999999997</v>
      </c>
      <c r="T14" s="7">
        <v>0.97248999999999997</v>
      </c>
      <c r="V14">
        <f t="shared" si="8"/>
        <v>6.7890999999999995</v>
      </c>
      <c r="W14">
        <f t="shared" si="9"/>
        <v>6.2543749999999996</v>
      </c>
      <c r="X14">
        <f t="shared" si="10"/>
        <v>4.075545</v>
      </c>
      <c r="Y14">
        <f t="shared" si="11"/>
        <v>1.2732350000000001</v>
      </c>
      <c r="Z14">
        <f t="shared" si="12"/>
        <v>6.67</v>
      </c>
      <c r="AA14">
        <f t="shared" si="13"/>
        <v>1.158625</v>
      </c>
      <c r="AB14">
        <f t="shared" si="14"/>
        <v>0.94794500000000004</v>
      </c>
      <c r="AC14">
        <f t="shared" si="15"/>
        <v>0.973105</v>
      </c>
    </row>
    <row r="15" spans="1:29" ht="17.25" thickBot="1" x14ac:dyDescent="0.35">
      <c r="A15">
        <v>70</v>
      </c>
      <c r="B15" t="s">
        <v>11</v>
      </c>
      <c r="C15">
        <v>5.7727199999999996</v>
      </c>
      <c r="D15">
        <v>5.2007099999999999</v>
      </c>
      <c r="E15">
        <v>3.7616100000000001</v>
      </c>
      <c r="F15">
        <v>1.2033499999999999</v>
      </c>
      <c r="G15">
        <v>4.1663399999999999</v>
      </c>
      <c r="H15">
        <v>0.92427999999999999</v>
      </c>
      <c r="I15">
        <v>0.94972000000000001</v>
      </c>
      <c r="J15">
        <v>0.97407999999999995</v>
      </c>
      <c r="K15" s="7">
        <v>70</v>
      </c>
      <c r="L15" s="7" t="s">
        <v>11</v>
      </c>
      <c r="M15" s="7">
        <v>6.4143800000000004</v>
      </c>
      <c r="N15" s="7">
        <v>5.9907300000000001</v>
      </c>
      <c r="O15" s="7">
        <v>4.3863200000000004</v>
      </c>
      <c r="P15" s="7">
        <v>1.3486</v>
      </c>
      <c r="Q15" s="7">
        <v>9.6142099999999999</v>
      </c>
      <c r="R15" s="7">
        <v>1.43031</v>
      </c>
      <c r="S15" s="7">
        <v>0.94279000000000002</v>
      </c>
      <c r="T15" s="7">
        <v>0.97033999999999998</v>
      </c>
      <c r="V15">
        <f t="shared" si="8"/>
        <v>6.0935500000000005</v>
      </c>
      <c r="W15">
        <f t="shared" si="9"/>
        <v>5.59572</v>
      </c>
      <c r="X15">
        <f t="shared" si="10"/>
        <v>4.0739650000000003</v>
      </c>
      <c r="Y15">
        <f t="shared" si="11"/>
        <v>1.2759749999999999</v>
      </c>
      <c r="Z15">
        <f t="shared" si="12"/>
        <v>6.8902749999999999</v>
      </c>
      <c r="AA15">
        <f t="shared" si="13"/>
        <v>1.177295</v>
      </c>
      <c r="AB15">
        <f t="shared" si="14"/>
        <v>0.94625500000000007</v>
      </c>
      <c r="AC15">
        <f t="shared" si="15"/>
        <v>0.97221000000000002</v>
      </c>
    </row>
    <row r="16" spans="1:29" ht="17.25" thickBot="1" x14ac:dyDescent="0.35">
      <c r="A16" s="1">
        <v>10</v>
      </c>
      <c r="B16" s="2" t="s">
        <v>12</v>
      </c>
      <c r="C16" s="2">
        <v>32.739179999999998</v>
      </c>
      <c r="D16" s="2">
        <v>29.609380000000002</v>
      </c>
      <c r="E16" s="2">
        <v>15.45035</v>
      </c>
      <c r="F16" s="2">
        <v>4.3009700000000004</v>
      </c>
      <c r="G16" s="2">
        <v>27.415579999999999</v>
      </c>
      <c r="H16" s="2">
        <v>3.0355400000000001</v>
      </c>
      <c r="I16" s="2">
        <v>0.83753</v>
      </c>
      <c r="J16" s="2">
        <v>0.91117999999999999</v>
      </c>
      <c r="K16" s="9">
        <v>10</v>
      </c>
      <c r="L16" s="10" t="s">
        <v>12</v>
      </c>
      <c r="M16" s="10">
        <v>33.701149999999998</v>
      </c>
      <c r="N16" s="10">
        <v>30.501259999999998</v>
      </c>
      <c r="O16" s="10">
        <v>15.36225</v>
      </c>
      <c r="P16" s="10">
        <v>4.2385900000000003</v>
      </c>
      <c r="Q16" s="10">
        <v>25.577290000000001</v>
      </c>
      <c r="R16" s="10">
        <v>2.1108699999999998</v>
      </c>
      <c r="S16" s="10">
        <v>0.84374000000000005</v>
      </c>
      <c r="T16" s="11">
        <v>0.91491</v>
      </c>
      <c r="V16">
        <f t="shared" si="8"/>
        <v>33.220164999999994</v>
      </c>
      <c r="W16">
        <f t="shared" si="9"/>
        <v>30.055320000000002</v>
      </c>
      <c r="X16">
        <f t="shared" si="10"/>
        <v>15.4063</v>
      </c>
      <c r="Y16">
        <f t="shared" si="11"/>
        <v>4.2697800000000008</v>
      </c>
      <c r="Z16">
        <f t="shared" si="12"/>
        <v>26.496434999999998</v>
      </c>
      <c r="AA16">
        <f t="shared" si="13"/>
        <v>2.5732049999999997</v>
      </c>
      <c r="AB16">
        <f t="shared" si="14"/>
        <v>0.84063500000000002</v>
      </c>
      <c r="AC16">
        <f t="shared" si="15"/>
        <v>0.913045</v>
      </c>
    </row>
    <row r="17" spans="1:29" x14ac:dyDescent="0.3">
      <c r="A17">
        <v>20</v>
      </c>
      <c r="B17" t="s">
        <v>12</v>
      </c>
      <c r="C17">
        <v>16.417459999999998</v>
      </c>
      <c r="D17">
        <v>15.341340000000001</v>
      </c>
      <c r="E17">
        <v>6.3976899999999999</v>
      </c>
      <c r="F17">
        <v>1.83094</v>
      </c>
      <c r="G17">
        <v>10.207509999999999</v>
      </c>
      <c r="H17">
        <v>1.6608400000000001</v>
      </c>
      <c r="I17">
        <v>0.93183000000000005</v>
      </c>
      <c r="J17">
        <v>0.96453</v>
      </c>
      <c r="K17" s="7">
        <v>20</v>
      </c>
      <c r="L17" s="7" t="s">
        <v>12</v>
      </c>
      <c r="M17" s="7">
        <v>16.939340000000001</v>
      </c>
      <c r="N17" s="7">
        <v>15.791370000000001</v>
      </c>
      <c r="O17" s="7">
        <v>6.2081400000000002</v>
      </c>
      <c r="P17" s="7">
        <v>2.0191599999999998</v>
      </c>
      <c r="Q17" s="7">
        <v>11.191269999999999</v>
      </c>
      <c r="R17" s="7">
        <v>1.5258400000000001</v>
      </c>
      <c r="S17" s="7">
        <v>0.92603000000000002</v>
      </c>
      <c r="T17" s="7">
        <v>0.96140999999999999</v>
      </c>
      <c r="V17">
        <f t="shared" si="8"/>
        <v>16.6784</v>
      </c>
      <c r="W17">
        <f t="shared" si="9"/>
        <v>15.566355000000001</v>
      </c>
      <c r="X17">
        <f t="shared" si="10"/>
        <v>6.3029150000000005</v>
      </c>
      <c r="Y17">
        <f t="shared" si="11"/>
        <v>1.9250499999999999</v>
      </c>
      <c r="Z17">
        <f t="shared" si="12"/>
        <v>10.699389999999999</v>
      </c>
      <c r="AA17">
        <f t="shared" si="13"/>
        <v>1.59334</v>
      </c>
      <c r="AB17">
        <f t="shared" si="14"/>
        <v>0.92893000000000003</v>
      </c>
      <c r="AC17">
        <f t="shared" si="15"/>
        <v>0.96296999999999999</v>
      </c>
    </row>
    <row r="18" spans="1:29" x14ac:dyDescent="0.3">
      <c r="A18">
        <v>30</v>
      </c>
      <c r="B18" t="s">
        <v>12</v>
      </c>
      <c r="C18">
        <v>11.33709</v>
      </c>
      <c r="D18">
        <v>10.447749999999999</v>
      </c>
      <c r="E18">
        <v>4.4305500000000002</v>
      </c>
      <c r="F18">
        <v>1.5666199999999999</v>
      </c>
      <c r="G18">
        <v>6.2456699999999996</v>
      </c>
      <c r="H18">
        <v>1.0684800000000001</v>
      </c>
      <c r="I18">
        <v>0.9345</v>
      </c>
      <c r="J18">
        <v>0.96589999999999998</v>
      </c>
      <c r="K18" s="7">
        <v>30</v>
      </c>
      <c r="L18" s="7" t="s">
        <v>12</v>
      </c>
      <c r="M18" s="7">
        <v>11.99827</v>
      </c>
      <c r="N18" s="7">
        <v>11.2194</v>
      </c>
      <c r="O18" s="7">
        <v>4.90421</v>
      </c>
      <c r="P18" s="7">
        <v>1.6163400000000001</v>
      </c>
      <c r="Q18" s="7">
        <v>9.4767299999999999</v>
      </c>
      <c r="R18" s="7">
        <v>1.5431299999999999</v>
      </c>
      <c r="S18" s="7">
        <v>0.93579999999999997</v>
      </c>
      <c r="T18" s="7">
        <v>0.96667999999999998</v>
      </c>
      <c r="V18">
        <f t="shared" si="8"/>
        <v>11.667680000000001</v>
      </c>
      <c r="W18">
        <f t="shared" si="9"/>
        <v>10.833575</v>
      </c>
      <c r="X18">
        <f t="shared" si="10"/>
        <v>4.6673799999999996</v>
      </c>
      <c r="Y18">
        <f t="shared" si="11"/>
        <v>1.59148</v>
      </c>
      <c r="Z18">
        <f t="shared" si="12"/>
        <v>7.8612000000000002</v>
      </c>
      <c r="AA18">
        <f t="shared" si="13"/>
        <v>1.3058049999999999</v>
      </c>
      <c r="AB18">
        <f t="shared" si="14"/>
        <v>0.93514999999999993</v>
      </c>
      <c r="AC18">
        <f t="shared" si="15"/>
        <v>0.96628999999999998</v>
      </c>
    </row>
    <row r="19" spans="1:29" x14ac:dyDescent="0.3">
      <c r="A19">
        <v>40</v>
      </c>
      <c r="B19" t="s">
        <v>12</v>
      </c>
      <c r="C19">
        <v>8.8546099999999992</v>
      </c>
      <c r="D19">
        <v>8.0885999999999996</v>
      </c>
      <c r="E19">
        <v>4.3134800000000002</v>
      </c>
      <c r="F19">
        <v>1.49699</v>
      </c>
      <c r="G19">
        <v>6.0849000000000002</v>
      </c>
      <c r="H19">
        <v>1.0576000000000001</v>
      </c>
      <c r="I19">
        <v>0.93803000000000003</v>
      </c>
      <c r="J19">
        <v>0.96774000000000004</v>
      </c>
      <c r="K19" s="7">
        <v>40</v>
      </c>
      <c r="L19" s="7" t="s">
        <v>12</v>
      </c>
      <c r="M19" s="7">
        <v>9.6464700000000008</v>
      </c>
      <c r="N19" s="7">
        <v>9.0016800000000003</v>
      </c>
      <c r="O19" s="7">
        <v>4.8421599999999998</v>
      </c>
      <c r="P19" s="7">
        <v>1.5057799999999999</v>
      </c>
      <c r="Q19" s="7">
        <v>9.1227499999999999</v>
      </c>
      <c r="R19" s="7">
        <v>1.5427</v>
      </c>
      <c r="S19" s="7">
        <v>0.93969999999999998</v>
      </c>
      <c r="T19" s="7">
        <v>0.96875999999999995</v>
      </c>
      <c r="V19">
        <f t="shared" si="8"/>
        <v>9.2505400000000009</v>
      </c>
      <c r="W19">
        <f t="shared" si="9"/>
        <v>8.54514</v>
      </c>
      <c r="X19">
        <f t="shared" si="10"/>
        <v>4.57782</v>
      </c>
      <c r="Y19">
        <f t="shared" si="11"/>
        <v>1.501385</v>
      </c>
      <c r="Z19">
        <f t="shared" si="12"/>
        <v>7.6038250000000005</v>
      </c>
      <c r="AA19">
        <f t="shared" si="13"/>
        <v>1.3001499999999999</v>
      </c>
      <c r="AB19">
        <f t="shared" si="14"/>
        <v>0.93886500000000006</v>
      </c>
      <c r="AC19">
        <f t="shared" si="15"/>
        <v>0.96825000000000006</v>
      </c>
    </row>
    <row r="20" spans="1:29" x14ac:dyDescent="0.3">
      <c r="A20">
        <v>50</v>
      </c>
      <c r="B20" t="s">
        <v>12</v>
      </c>
      <c r="C20">
        <v>7.6706399999999997</v>
      </c>
      <c r="D20">
        <v>6.99763</v>
      </c>
      <c r="E20">
        <v>4.3812699999999998</v>
      </c>
      <c r="F20">
        <v>1.4790300000000001</v>
      </c>
      <c r="G20">
        <v>6.8532799999999998</v>
      </c>
      <c r="H20">
        <v>1.11219</v>
      </c>
      <c r="I20">
        <v>0.93711999999999995</v>
      </c>
      <c r="J20">
        <v>0.96716999999999997</v>
      </c>
      <c r="K20" s="7">
        <v>50</v>
      </c>
      <c r="L20" s="7" t="s">
        <v>12</v>
      </c>
      <c r="M20" s="7">
        <v>8.2004999999999999</v>
      </c>
      <c r="N20" s="7">
        <v>7.6475099999999996</v>
      </c>
      <c r="O20" s="7">
        <v>4.7802600000000002</v>
      </c>
      <c r="P20" s="7">
        <v>1.4904999999999999</v>
      </c>
      <c r="Q20" s="7">
        <v>9.4280000000000008</v>
      </c>
      <c r="R20" s="7">
        <v>1.5802499999999999</v>
      </c>
      <c r="S20" s="7">
        <v>0.94221999999999995</v>
      </c>
      <c r="T20" s="7">
        <v>0.97009999999999996</v>
      </c>
      <c r="V20">
        <f t="shared" si="8"/>
        <v>7.9355700000000002</v>
      </c>
      <c r="W20">
        <f t="shared" si="9"/>
        <v>7.3225699999999998</v>
      </c>
      <c r="X20">
        <f t="shared" si="10"/>
        <v>4.5807649999999995</v>
      </c>
      <c r="Y20">
        <f t="shared" si="11"/>
        <v>1.4847649999999999</v>
      </c>
      <c r="Z20">
        <f t="shared" si="12"/>
        <v>8.1406400000000012</v>
      </c>
      <c r="AA20">
        <f t="shared" si="13"/>
        <v>1.34622</v>
      </c>
      <c r="AB20">
        <f t="shared" si="14"/>
        <v>0.93967000000000001</v>
      </c>
      <c r="AC20">
        <f t="shared" si="15"/>
        <v>0.96863499999999991</v>
      </c>
    </row>
    <row r="21" spans="1:29" x14ac:dyDescent="0.3">
      <c r="A21">
        <v>60</v>
      </c>
      <c r="B21" t="s">
        <v>12</v>
      </c>
      <c r="C21">
        <v>6.7474800000000004</v>
      </c>
      <c r="D21">
        <v>6.1390900000000004</v>
      </c>
      <c r="E21">
        <v>4.3310899999999997</v>
      </c>
      <c r="F21">
        <v>1.4661200000000001</v>
      </c>
      <c r="G21">
        <v>6.4793700000000003</v>
      </c>
      <c r="H21">
        <v>1.1410400000000001</v>
      </c>
      <c r="I21">
        <v>0.93855999999999995</v>
      </c>
      <c r="J21">
        <v>0.96794000000000002</v>
      </c>
      <c r="K21" s="7">
        <v>60</v>
      </c>
      <c r="L21" s="7" t="s">
        <v>12</v>
      </c>
      <c r="M21" s="7">
        <v>7.2664999999999997</v>
      </c>
      <c r="N21" s="7">
        <v>6.7716599999999998</v>
      </c>
      <c r="O21" s="7">
        <v>4.8067700000000002</v>
      </c>
      <c r="P21" s="7">
        <v>1.49092</v>
      </c>
      <c r="Q21" s="7">
        <v>9.5071600000000007</v>
      </c>
      <c r="R21" s="7">
        <v>1.6087199999999999</v>
      </c>
      <c r="S21" s="7">
        <v>0.94244000000000006</v>
      </c>
      <c r="T21" s="7">
        <v>0.97021000000000002</v>
      </c>
      <c r="V21">
        <f t="shared" si="8"/>
        <v>7.0069900000000001</v>
      </c>
      <c r="W21">
        <f t="shared" si="9"/>
        <v>6.4553750000000001</v>
      </c>
      <c r="X21">
        <f t="shared" si="10"/>
        <v>4.5689299999999999</v>
      </c>
      <c r="Y21">
        <f t="shared" si="11"/>
        <v>1.4785200000000001</v>
      </c>
      <c r="Z21">
        <f t="shared" si="12"/>
        <v>7.993265000000001</v>
      </c>
      <c r="AA21">
        <f t="shared" si="13"/>
        <v>1.3748800000000001</v>
      </c>
      <c r="AB21">
        <f t="shared" si="14"/>
        <v>0.9405</v>
      </c>
      <c r="AC21">
        <f t="shared" si="15"/>
        <v>0.96907500000000002</v>
      </c>
    </row>
    <row r="22" spans="1:29" ht="17.25" thickBot="1" x14ac:dyDescent="0.35">
      <c r="A22">
        <v>70</v>
      </c>
      <c r="B22" t="s">
        <v>12</v>
      </c>
      <c r="C22">
        <v>6.0158899999999997</v>
      </c>
      <c r="D22">
        <v>5.4727199999999998</v>
      </c>
      <c r="E22">
        <v>4.3359199999999998</v>
      </c>
      <c r="F22">
        <v>1.4826699999999999</v>
      </c>
      <c r="G22">
        <v>6.2660600000000004</v>
      </c>
      <c r="H22">
        <v>1.1712</v>
      </c>
      <c r="I22">
        <v>0.93879999999999997</v>
      </c>
      <c r="J22">
        <v>0.96806999999999999</v>
      </c>
      <c r="K22" s="7">
        <v>70</v>
      </c>
      <c r="L22" s="7" t="s">
        <v>12</v>
      </c>
      <c r="M22" s="7">
        <v>6.9537000000000004</v>
      </c>
      <c r="N22" s="7">
        <v>6.3970799999999999</v>
      </c>
      <c r="O22" s="7">
        <v>4.9870099999999997</v>
      </c>
      <c r="P22" s="7">
        <v>1.50031</v>
      </c>
      <c r="Q22" s="7">
        <v>10.13823</v>
      </c>
      <c r="R22" s="7">
        <v>1.6765600000000001</v>
      </c>
      <c r="S22" s="7">
        <v>0.92983000000000005</v>
      </c>
      <c r="T22" s="7">
        <v>0.96328000000000003</v>
      </c>
      <c r="V22">
        <f t="shared" si="8"/>
        <v>6.4847950000000001</v>
      </c>
      <c r="W22">
        <f t="shared" si="9"/>
        <v>5.9348999999999998</v>
      </c>
      <c r="X22">
        <f t="shared" si="10"/>
        <v>4.6614649999999997</v>
      </c>
      <c r="Y22">
        <f t="shared" si="11"/>
        <v>1.49149</v>
      </c>
      <c r="Z22">
        <f t="shared" si="12"/>
        <v>8.2021449999999998</v>
      </c>
      <c r="AA22">
        <f t="shared" si="13"/>
        <v>1.42388</v>
      </c>
      <c r="AB22">
        <f t="shared" si="14"/>
        <v>0.93431500000000001</v>
      </c>
      <c r="AC22">
        <f t="shared" si="15"/>
        <v>0.96567500000000006</v>
      </c>
    </row>
    <row r="23" spans="1:29" ht="17.25" thickBot="1" x14ac:dyDescent="0.35">
      <c r="A23" s="1">
        <v>10</v>
      </c>
      <c r="B23" s="2" t="s">
        <v>13</v>
      </c>
      <c r="C23" s="2">
        <v>32.036389999999997</v>
      </c>
      <c r="D23" s="2">
        <v>28.990780000000001</v>
      </c>
      <c r="E23" s="2">
        <v>15.405250000000001</v>
      </c>
      <c r="F23" s="2">
        <v>4.45695</v>
      </c>
      <c r="G23" s="2">
        <v>29.01624</v>
      </c>
      <c r="H23" s="2">
        <v>3.2888999999999999</v>
      </c>
      <c r="I23" s="2">
        <v>0.82425999999999999</v>
      </c>
      <c r="J23" s="2">
        <v>0.90330999999999995</v>
      </c>
      <c r="K23" s="9">
        <v>10</v>
      </c>
      <c r="L23" s="10" t="s">
        <v>13</v>
      </c>
      <c r="M23" s="10">
        <v>34.072209999999998</v>
      </c>
      <c r="N23" s="10">
        <v>30.962299999999999</v>
      </c>
      <c r="O23" s="10">
        <v>14.98901</v>
      </c>
      <c r="P23" s="10">
        <v>4.2680499999999997</v>
      </c>
      <c r="Q23" s="10">
        <v>17.932220000000001</v>
      </c>
      <c r="R23" s="10">
        <v>2.2259899999999999</v>
      </c>
      <c r="S23" s="10">
        <v>0.82903000000000004</v>
      </c>
      <c r="T23" s="11">
        <v>0.90605999999999998</v>
      </c>
      <c r="V23">
        <f t="shared" si="8"/>
        <v>33.054299999999998</v>
      </c>
      <c r="W23">
        <f t="shared" si="9"/>
        <v>29.97654</v>
      </c>
      <c r="X23">
        <f t="shared" si="10"/>
        <v>15.197130000000001</v>
      </c>
      <c r="Y23">
        <f t="shared" si="11"/>
        <v>4.3624999999999998</v>
      </c>
      <c r="Z23">
        <f t="shared" si="12"/>
        <v>23.474229999999999</v>
      </c>
      <c r="AA23">
        <f t="shared" si="13"/>
        <v>2.7574449999999997</v>
      </c>
      <c r="AB23">
        <f t="shared" si="14"/>
        <v>0.82664500000000007</v>
      </c>
      <c r="AC23">
        <f t="shared" si="15"/>
        <v>0.90468499999999996</v>
      </c>
    </row>
    <row r="24" spans="1:29" x14ac:dyDescent="0.3">
      <c r="A24">
        <v>20</v>
      </c>
      <c r="B24" t="s">
        <v>13</v>
      </c>
      <c r="C24">
        <v>16.472950000000001</v>
      </c>
      <c r="D24">
        <v>15.394970000000001</v>
      </c>
      <c r="E24">
        <v>6.2435999999999998</v>
      </c>
      <c r="F24">
        <v>1.8860600000000001</v>
      </c>
      <c r="G24">
        <v>10.660769999999999</v>
      </c>
      <c r="H24">
        <v>1.5478799999999999</v>
      </c>
      <c r="I24">
        <v>0.92169999999999996</v>
      </c>
      <c r="J24">
        <v>0.95908000000000004</v>
      </c>
      <c r="K24" s="7">
        <v>20</v>
      </c>
      <c r="L24" s="7" t="s">
        <v>13</v>
      </c>
      <c r="M24" s="7">
        <v>17.050419999999999</v>
      </c>
      <c r="N24" s="7">
        <v>16.041969999999999</v>
      </c>
      <c r="O24" s="7">
        <v>6.4363700000000001</v>
      </c>
      <c r="P24" s="7">
        <v>2.0761400000000001</v>
      </c>
      <c r="Q24" s="7">
        <v>11.79674</v>
      </c>
      <c r="R24" s="7">
        <v>1.6678599999999999</v>
      </c>
      <c r="S24" s="7">
        <v>0.91163000000000005</v>
      </c>
      <c r="T24" s="7">
        <v>0.95348999999999995</v>
      </c>
      <c r="V24">
        <f t="shared" si="8"/>
        <v>16.761685</v>
      </c>
      <c r="W24">
        <f t="shared" si="9"/>
        <v>15.71847</v>
      </c>
      <c r="X24">
        <f t="shared" si="10"/>
        <v>6.3399850000000004</v>
      </c>
      <c r="Y24">
        <f t="shared" si="11"/>
        <v>1.9811000000000001</v>
      </c>
      <c r="Z24">
        <f t="shared" si="12"/>
        <v>11.228755</v>
      </c>
      <c r="AA24">
        <f t="shared" si="13"/>
        <v>1.6078699999999999</v>
      </c>
      <c r="AB24">
        <f t="shared" si="14"/>
        <v>0.91666500000000006</v>
      </c>
      <c r="AC24">
        <f t="shared" si="15"/>
        <v>0.95628500000000005</v>
      </c>
    </row>
    <row r="25" spans="1:29" x14ac:dyDescent="0.3">
      <c r="A25">
        <v>30</v>
      </c>
      <c r="B25" t="s">
        <v>13</v>
      </c>
      <c r="C25">
        <v>11.30353</v>
      </c>
      <c r="D25">
        <v>10.36707</v>
      </c>
      <c r="E25">
        <v>4.8979999999999997</v>
      </c>
      <c r="F25">
        <v>1.5775999999999999</v>
      </c>
      <c r="G25">
        <v>6.8499800000000004</v>
      </c>
      <c r="H25">
        <v>0.97731000000000001</v>
      </c>
      <c r="I25">
        <v>0.92993000000000003</v>
      </c>
      <c r="J25">
        <v>0.96348999999999996</v>
      </c>
      <c r="K25" s="7">
        <v>30</v>
      </c>
      <c r="L25" s="7" t="s">
        <v>13</v>
      </c>
      <c r="M25" s="7">
        <v>11.915649999999999</v>
      </c>
      <c r="N25" s="7">
        <v>11.231310000000001</v>
      </c>
      <c r="O25" s="7">
        <v>5.6615599999999997</v>
      </c>
      <c r="P25" s="7">
        <v>1.85937</v>
      </c>
      <c r="Q25" s="7">
        <v>12.74065</v>
      </c>
      <c r="R25" s="7">
        <v>1.5610200000000001</v>
      </c>
      <c r="S25" s="7">
        <v>0.92142999999999997</v>
      </c>
      <c r="T25" s="7">
        <v>0.95894000000000001</v>
      </c>
      <c r="V25">
        <f t="shared" si="8"/>
        <v>11.609590000000001</v>
      </c>
      <c r="W25">
        <f t="shared" si="9"/>
        <v>10.799189999999999</v>
      </c>
      <c r="X25">
        <f t="shared" si="10"/>
        <v>5.2797799999999997</v>
      </c>
      <c r="Y25">
        <f t="shared" si="11"/>
        <v>1.7184849999999998</v>
      </c>
      <c r="Z25">
        <f t="shared" si="12"/>
        <v>9.7953150000000004</v>
      </c>
      <c r="AA25">
        <f t="shared" si="13"/>
        <v>1.2691650000000001</v>
      </c>
      <c r="AB25">
        <f t="shared" si="14"/>
        <v>0.92568000000000006</v>
      </c>
      <c r="AC25">
        <f t="shared" si="15"/>
        <v>0.96121499999999993</v>
      </c>
    </row>
    <row r="26" spans="1:29" x14ac:dyDescent="0.3">
      <c r="A26">
        <v>40</v>
      </c>
      <c r="B26" t="s">
        <v>13</v>
      </c>
      <c r="C26">
        <v>9.0047899999999998</v>
      </c>
      <c r="D26">
        <v>8.2009500000000006</v>
      </c>
      <c r="E26">
        <v>4.8965899999999998</v>
      </c>
      <c r="F26">
        <v>1.5206</v>
      </c>
      <c r="G26">
        <v>6.3487099999999996</v>
      </c>
      <c r="H26">
        <v>1.0028900000000001</v>
      </c>
      <c r="I26">
        <v>0.93715000000000004</v>
      </c>
      <c r="J26">
        <v>0.96736</v>
      </c>
      <c r="K26" s="7">
        <v>40</v>
      </c>
      <c r="L26" s="7" t="s">
        <v>13</v>
      </c>
      <c r="M26" s="7">
        <v>9.6722099999999998</v>
      </c>
      <c r="N26" s="7">
        <v>9.1039600000000007</v>
      </c>
      <c r="O26" s="7">
        <v>5.5745800000000001</v>
      </c>
      <c r="P26" s="7">
        <v>1.7551399999999999</v>
      </c>
      <c r="Q26" s="7">
        <v>12.586729999999999</v>
      </c>
      <c r="R26" s="7">
        <v>1.4801500000000001</v>
      </c>
      <c r="S26" s="7">
        <v>0.92784999999999995</v>
      </c>
      <c r="T26" s="7">
        <v>0.96238000000000001</v>
      </c>
      <c r="V26">
        <f t="shared" si="8"/>
        <v>9.3384999999999998</v>
      </c>
      <c r="W26">
        <f t="shared" si="9"/>
        <v>8.6524549999999998</v>
      </c>
      <c r="X26">
        <f t="shared" si="10"/>
        <v>5.2355850000000004</v>
      </c>
      <c r="Y26">
        <f t="shared" si="11"/>
        <v>1.6378699999999999</v>
      </c>
      <c r="Z26">
        <f t="shared" si="12"/>
        <v>9.4677199999999999</v>
      </c>
      <c r="AA26">
        <f t="shared" si="13"/>
        <v>1.24152</v>
      </c>
      <c r="AB26">
        <f t="shared" si="14"/>
        <v>0.9325</v>
      </c>
      <c r="AC26">
        <f t="shared" si="15"/>
        <v>0.96487000000000001</v>
      </c>
    </row>
    <row r="27" spans="1:29" x14ac:dyDescent="0.3">
      <c r="A27">
        <v>50</v>
      </c>
      <c r="B27" t="s">
        <v>13</v>
      </c>
      <c r="C27">
        <v>7.80009</v>
      </c>
      <c r="D27">
        <v>7.0699899999999998</v>
      </c>
      <c r="E27">
        <v>5.00014</v>
      </c>
      <c r="F27">
        <v>1.53729</v>
      </c>
      <c r="G27">
        <v>6.4575300000000002</v>
      </c>
      <c r="H27">
        <v>1.01356</v>
      </c>
      <c r="I27">
        <v>0.9375</v>
      </c>
      <c r="J27">
        <v>0.96753</v>
      </c>
      <c r="K27" s="7">
        <v>50</v>
      </c>
      <c r="L27" s="7" t="s">
        <v>13</v>
      </c>
      <c r="M27" s="7">
        <v>8.2650000000000006</v>
      </c>
      <c r="N27" s="7">
        <v>7.7694099999999997</v>
      </c>
      <c r="O27" s="7">
        <v>5.7199900000000001</v>
      </c>
      <c r="P27" s="7">
        <v>1.7864199999999999</v>
      </c>
      <c r="Q27" s="7">
        <v>13.20707</v>
      </c>
      <c r="R27" s="7">
        <v>1.43672</v>
      </c>
      <c r="S27" s="7">
        <v>0.92778000000000005</v>
      </c>
      <c r="T27" s="7">
        <v>0.96233000000000002</v>
      </c>
      <c r="V27">
        <f t="shared" si="8"/>
        <v>8.0325450000000007</v>
      </c>
      <c r="W27">
        <f t="shared" si="9"/>
        <v>7.4196999999999997</v>
      </c>
      <c r="X27">
        <f t="shared" si="10"/>
        <v>5.3600650000000005</v>
      </c>
      <c r="Y27">
        <f t="shared" si="11"/>
        <v>1.6618550000000001</v>
      </c>
      <c r="Z27">
        <f t="shared" si="12"/>
        <v>9.8323</v>
      </c>
      <c r="AA27">
        <f t="shared" si="13"/>
        <v>1.2251400000000001</v>
      </c>
      <c r="AB27">
        <f t="shared" si="14"/>
        <v>0.93264000000000002</v>
      </c>
      <c r="AC27">
        <f t="shared" si="15"/>
        <v>0.96493000000000007</v>
      </c>
    </row>
    <row r="28" spans="1:29" x14ac:dyDescent="0.3">
      <c r="A28">
        <v>60</v>
      </c>
      <c r="B28" t="s">
        <v>13</v>
      </c>
      <c r="C28">
        <v>6.8163099999999996</v>
      </c>
      <c r="D28">
        <v>6.1479799999999996</v>
      </c>
      <c r="E28">
        <v>5.0106799999999998</v>
      </c>
      <c r="F28">
        <v>1.54881</v>
      </c>
      <c r="G28">
        <v>6.06914</v>
      </c>
      <c r="H28">
        <v>1.07351</v>
      </c>
      <c r="I28">
        <v>0.93437999999999999</v>
      </c>
      <c r="J28">
        <v>0.96587000000000001</v>
      </c>
      <c r="K28" s="7">
        <v>60</v>
      </c>
      <c r="L28" s="7" t="s">
        <v>13</v>
      </c>
      <c r="M28" s="7">
        <v>7.3989700000000003</v>
      </c>
      <c r="N28" s="7">
        <v>6.9426699999999997</v>
      </c>
      <c r="O28" s="7">
        <v>5.7666000000000004</v>
      </c>
      <c r="P28" s="7">
        <v>1.79565</v>
      </c>
      <c r="Q28" s="7">
        <v>13.17479</v>
      </c>
      <c r="R28" s="7">
        <v>1.4316500000000001</v>
      </c>
      <c r="S28" s="7">
        <v>0.92908999999999997</v>
      </c>
      <c r="T28" s="7">
        <v>0.96306000000000003</v>
      </c>
      <c r="V28">
        <f t="shared" si="8"/>
        <v>7.10764</v>
      </c>
      <c r="W28">
        <f t="shared" si="9"/>
        <v>6.5453250000000001</v>
      </c>
      <c r="X28">
        <f t="shared" si="10"/>
        <v>5.3886400000000005</v>
      </c>
      <c r="Y28">
        <f t="shared" si="11"/>
        <v>1.6722299999999999</v>
      </c>
      <c r="Z28">
        <f t="shared" si="12"/>
        <v>9.6219649999999994</v>
      </c>
      <c r="AA28">
        <f t="shared" si="13"/>
        <v>1.25258</v>
      </c>
      <c r="AB28">
        <f t="shared" si="14"/>
        <v>0.93173499999999998</v>
      </c>
      <c r="AC28">
        <f t="shared" si="15"/>
        <v>0.96446500000000002</v>
      </c>
    </row>
    <row r="29" spans="1:29" ht="17.25" thickBot="1" x14ac:dyDescent="0.35">
      <c r="A29">
        <v>70</v>
      </c>
      <c r="B29" t="s">
        <v>13</v>
      </c>
      <c r="C29">
        <v>6.1318299999999999</v>
      </c>
      <c r="D29">
        <v>5.5331400000000004</v>
      </c>
      <c r="E29">
        <v>5.0711599999999999</v>
      </c>
      <c r="F29">
        <v>1.5578799999999999</v>
      </c>
      <c r="G29">
        <v>6.1968899999999998</v>
      </c>
      <c r="H29">
        <v>1.12578</v>
      </c>
      <c r="I29">
        <v>0.93274999999999997</v>
      </c>
      <c r="J29">
        <v>0.96499999999999997</v>
      </c>
      <c r="K29" s="7">
        <v>70</v>
      </c>
      <c r="L29" s="7" t="s">
        <v>13</v>
      </c>
      <c r="M29" s="7">
        <v>7.0808</v>
      </c>
      <c r="N29" s="7">
        <v>6.6201699999999999</v>
      </c>
      <c r="O29" s="7">
        <v>5.9058799999999998</v>
      </c>
      <c r="P29" s="7">
        <v>1.8152699999999999</v>
      </c>
      <c r="Q29" s="7">
        <v>14.931369999999999</v>
      </c>
      <c r="R29" s="7">
        <v>1.4749099999999999</v>
      </c>
      <c r="S29" s="7">
        <v>0.92227000000000003</v>
      </c>
      <c r="T29" s="7">
        <v>0.95935000000000004</v>
      </c>
      <c r="V29">
        <f t="shared" si="8"/>
        <v>6.6063150000000004</v>
      </c>
      <c r="W29">
        <f t="shared" si="9"/>
        <v>6.0766550000000006</v>
      </c>
      <c r="X29">
        <f t="shared" si="10"/>
        <v>5.4885199999999994</v>
      </c>
      <c r="Y29">
        <f t="shared" si="11"/>
        <v>1.6865749999999999</v>
      </c>
      <c r="Z29">
        <f t="shared" si="12"/>
        <v>10.564129999999999</v>
      </c>
      <c r="AA29">
        <f t="shared" si="13"/>
        <v>1.3003450000000001</v>
      </c>
      <c r="AB29">
        <f t="shared" si="14"/>
        <v>0.92751000000000006</v>
      </c>
      <c r="AC29">
        <f t="shared" si="15"/>
        <v>0.962175</v>
      </c>
    </row>
    <row r="30" spans="1:29" ht="17.25" thickBot="1" x14ac:dyDescent="0.35">
      <c r="A30" s="1">
        <v>10</v>
      </c>
      <c r="B30" s="2" t="s">
        <v>14</v>
      </c>
      <c r="C30" s="2">
        <v>31.986260000000001</v>
      </c>
      <c r="D30" s="2">
        <v>28.895659999999999</v>
      </c>
      <c r="E30" s="2">
        <v>15.1911</v>
      </c>
      <c r="F30" s="2">
        <v>4.3090700000000002</v>
      </c>
      <c r="G30" s="2">
        <v>25.1006</v>
      </c>
      <c r="H30" s="2">
        <v>3.10026</v>
      </c>
      <c r="I30" s="2">
        <v>0.83160999999999996</v>
      </c>
      <c r="J30" s="2">
        <v>0.90771000000000002</v>
      </c>
      <c r="K30" s="9">
        <v>10</v>
      </c>
      <c r="L30" s="10" t="s">
        <v>14</v>
      </c>
      <c r="M30" s="10">
        <v>33.610720000000001</v>
      </c>
      <c r="N30" s="10">
        <v>30.45524</v>
      </c>
      <c r="O30" s="10">
        <v>14.97148</v>
      </c>
      <c r="P30" s="10">
        <v>4.1531000000000002</v>
      </c>
      <c r="Q30" s="10">
        <v>18.52599</v>
      </c>
      <c r="R30" s="10">
        <v>2.08501</v>
      </c>
      <c r="S30" s="10">
        <v>0.83847000000000005</v>
      </c>
      <c r="T30" s="11">
        <v>0.91166999999999998</v>
      </c>
      <c r="V30">
        <f t="shared" si="8"/>
        <v>32.798490000000001</v>
      </c>
      <c r="W30">
        <f t="shared" si="9"/>
        <v>29.675449999999998</v>
      </c>
      <c r="X30">
        <f t="shared" si="10"/>
        <v>15.081289999999999</v>
      </c>
      <c r="Y30">
        <f t="shared" si="11"/>
        <v>4.2310850000000002</v>
      </c>
      <c r="Z30">
        <f t="shared" si="12"/>
        <v>21.813295</v>
      </c>
      <c r="AA30">
        <f t="shared" si="13"/>
        <v>2.592635</v>
      </c>
      <c r="AB30">
        <f t="shared" si="14"/>
        <v>0.83504</v>
      </c>
      <c r="AC30">
        <f t="shared" si="15"/>
        <v>0.90969</v>
      </c>
    </row>
    <row r="31" spans="1:29" x14ac:dyDescent="0.3">
      <c r="A31">
        <v>20</v>
      </c>
      <c r="B31" t="s">
        <v>14</v>
      </c>
      <c r="C31">
        <v>16.247530000000001</v>
      </c>
      <c r="D31">
        <v>15.145770000000001</v>
      </c>
      <c r="E31">
        <v>6.0856500000000002</v>
      </c>
      <c r="F31">
        <v>1.8153699999999999</v>
      </c>
      <c r="G31">
        <v>10.56366</v>
      </c>
      <c r="H31">
        <v>1.59657</v>
      </c>
      <c r="I31">
        <v>0.92551000000000005</v>
      </c>
      <c r="J31">
        <v>0.96114999999999995</v>
      </c>
      <c r="K31" s="7">
        <v>20</v>
      </c>
      <c r="L31" s="7" t="s">
        <v>14</v>
      </c>
      <c r="M31" s="7">
        <v>17.057590000000001</v>
      </c>
      <c r="N31" s="7">
        <v>15.950369999999999</v>
      </c>
      <c r="O31" s="7">
        <v>6.3507199999999999</v>
      </c>
      <c r="P31" s="7">
        <v>1.9893799999999999</v>
      </c>
      <c r="Q31" s="7">
        <v>11.499309999999999</v>
      </c>
      <c r="R31" s="7">
        <v>1.4948300000000001</v>
      </c>
      <c r="S31" s="7">
        <v>0.91678999999999999</v>
      </c>
      <c r="T31" s="7">
        <v>0.95625000000000004</v>
      </c>
      <c r="V31">
        <f t="shared" si="8"/>
        <v>16.652560000000001</v>
      </c>
      <c r="W31">
        <f t="shared" si="9"/>
        <v>15.548069999999999</v>
      </c>
      <c r="X31">
        <f t="shared" si="10"/>
        <v>6.2181850000000001</v>
      </c>
      <c r="Y31">
        <f t="shared" si="11"/>
        <v>1.9023749999999999</v>
      </c>
      <c r="Z31">
        <f t="shared" si="12"/>
        <v>11.031485</v>
      </c>
      <c r="AA31">
        <f t="shared" si="13"/>
        <v>1.5457000000000001</v>
      </c>
      <c r="AB31">
        <f t="shared" si="14"/>
        <v>0.92115000000000002</v>
      </c>
      <c r="AC31">
        <f t="shared" si="15"/>
        <v>0.9587</v>
      </c>
    </row>
    <row r="32" spans="1:29" x14ac:dyDescent="0.3">
      <c r="A32">
        <v>30</v>
      </c>
      <c r="B32" t="s">
        <v>14</v>
      </c>
      <c r="C32">
        <v>11.05486</v>
      </c>
      <c r="D32">
        <v>10.12748</v>
      </c>
      <c r="E32">
        <v>4.5442200000000001</v>
      </c>
      <c r="F32">
        <v>1.5442</v>
      </c>
      <c r="G32">
        <v>5.99979</v>
      </c>
      <c r="H32">
        <v>1.04216</v>
      </c>
      <c r="I32">
        <v>0.93206</v>
      </c>
      <c r="J32">
        <v>0.96458999999999995</v>
      </c>
      <c r="K32" s="7">
        <v>30</v>
      </c>
      <c r="L32" s="7" t="s">
        <v>14</v>
      </c>
      <c r="M32" s="7">
        <v>11.96139</v>
      </c>
      <c r="N32" s="7">
        <v>11.191739999999999</v>
      </c>
      <c r="O32" s="7">
        <v>5.1144400000000001</v>
      </c>
      <c r="P32" s="7">
        <v>1.69384</v>
      </c>
      <c r="Q32" s="7">
        <v>10.12387</v>
      </c>
      <c r="R32" s="7">
        <v>1.45926</v>
      </c>
      <c r="S32" s="7">
        <v>0.92784999999999995</v>
      </c>
      <c r="T32" s="7">
        <v>0.96235999999999999</v>
      </c>
      <c r="V32">
        <f t="shared" si="8"/>
        <v>11.508125</v>
      </c>
      <c r="W32">
        <f t="shared" si="9"/>
        <v>10.659610000000001</v>
      </c>
      <c r="X32">
        <f t="shared" si="10"/>
        <v>4.8293300000000006</v>
      </c>
      <c r="Y32">
        <f t="shared" si="11"/>
        <v>1.6190199999999999</v>
      </c>
      <c r="Z32">
        <f t="shared" si="12"/>
        <v>8.0618300000000005</v>
      </c>
      <c r="AA32">
        <f t="shared" si="13"/>
        <v>1.25071</v>
      </c>
      <c r="AB32">
        <f t="shared" si="14"/>
        <v>0.92995499999999998</v>
      </c>
      <c r="AC32">
        <f t="shared" si="15"/>
        <v>0.96347499999999997</v>
      </c>
    </row>
    <row r="33" spans="1:29" x14ac:dyDescent="0.3">
      <c r="A33">
        <v>40</v>
      </c>
      <c r="B33" t="s">
        <v>14</v>
      </c>
      <c r="C33">
        <v>8.7752700000000008</v>
      </c>
      <c r="D33">
        <v>7.9783400000000002</v>
      </c>
      <c r="E33">
        <v>4.49986</v>
      </c>
      <c r="F33">
        <v>1.4719100000000001</v>
      </c>
      <c r="G33">
        <v>4.7395699999999996</v>
      </c>
      <c r="H33">
        <v>0.97941999999999996</v>
      </c>
      <c r="I33">
        <v>0.93966000000000005</v>
      </c>
      <c r="J33">
        <v>0.96865000000000001</v>
      </c>
      <c r="K33" s="7">
        <v>40</v>
      </c>
      <c r="L33" s="7" t="s">
        <v>14</v>
      </c>
      <c r="M33" s="7">
        <v>9.6941900000000008</v>
      </c>
      <c r="N33" s="7">
        <v>9.0372299999999992</v>
      </c>
      <c r="O33" s="7">
        <v>5.1024500000000002</v>
      </c>
      <c r="P33" s="7">
        <v>1.6431100000000001</v>
      </c>
      <c r="Q33" s="7">
        <v>9.9437999999999995</v>
      </c>
      <c r="R33" s="7">
        <v>1.4717800000000001</v>
      </c>
      <c r="S33" s="7">
        <v>0.93249000000000004</v>
      </c>
      <c r="T33" s="7">
        <v>0.96482000000000001</v>
      </c>
      <c r="V33">
        <f t="shared" si="8"/>
        <v>9.2347300000000008</v>
      </c>
      <c r="W33">
        <f t="shared" si="9"/>
        <v>8.5077850000000002</v>
      </c>
      <c r="X33">
        <f t="shared" si="10"/>
        <v>4.8011549999999996</v>
      </c>
      <c r="Y33">
        <f t="shared" si="11"/>
        <v>1.5575100000000002</v>
      </c>
      <c r="Z33">
        <f t="shared" si="12"/>
        <v>7.341685</v>
      </c>
      <c r="AA33">
        <f t="shared" si="13"/>
        <v>1.2256</v>
      </c>
      <c r="AB33">
        <f t="shared" si="14"/>
        <v>0.93607499999999999</v>
      </c>
      <c r="AC33">
        <f t="shared" si="15"/>
        <v>0.96673500000000001</v>
      </c>
    </row>
    <row r="34" spans="1:29" x14ac:dyDescent="0.3">
      <c r="A34">
        <v>50</v>
      </c>
      <c r="B34" t="s">
        <v>14</v>
      </c>
      <c r="C34">
        <v>7.5389699999999999</v>
      </c>
      <c r="D34">
        <v>6.8101500000000001</v>
      </c>
      <c r="E34">
        <v>4.62066</v>
      </c>
      <c r="F34">
        <v>1.4631099999999999</v>
      </c>
      <c r="G34">
        <v>4.7701500000000001</v>
      </c>
      <c r="H34">
        <v>1.00448</v>
      </c>
      <c r="I34">
        <v>0.93962999999999997</v>
      </c>
      <c r="J34">
        <v>0.96858</v>
      </c>
      <c r="K34" s="7">
        <v>50</v>
      </c>
      <c r="L34" s="7" t="s">
        <v>14</v>
      </c>
      <c r="M34" s="7">
        <v>8.2963799999999992</v>
      </c>
      <c r="N34" s="7">
        <v>7.7069000000000001</v>
      </c>
      <c r="O34" s="7">
        <v>5.1422100000000004</v>
      </c>
      <c r="P34" s="7">
        <v>1.6615599999999999</v>
      </c>
      <c r="Q34" s="7">
        <v>10.34572</v>
      </c>
      <c r="R34" s="7">
        <v>1.45703</v>
      </c>
      <c r="S34" s="7">
        <v>0.93410000000000004</v>
      </c>
      <c r="T34" s="7">
        <v>0.96567000000000003</v>
      </c>
      <c r="V34">
        <f t="shared" si="8"/>
        <v>7.9176749999999991</v>
      </c>
      <c r="W34">
        <f t="shared" si="9"/>
        <v>7.2585250000000006</v>
      </c>
      <c r="X34">
        <f t="shared" si="10"/>
        <v>4.8814349999999997</v>
      </c>
      <c r="Y34">
        <f t="shared" si="11"/>
        <v>1.562335</v>
      </c>
      <c r="Z34">
        <f t="shared" si="12"/>
        <v>7.5579350000000005</v>
      </c>
      <c r="AA34">
        <f t="shared" si="13"/>
        <v>1.230755</v>
      </c>
      <c r="AB34">
        <f t="shared" si="14"/>
        <v>0.93686500000000006</v>
      </c>
      <c r="AC34">
        <f t="shared" si="15"/>
        <v>0.96712500000000001</v>
      </c>
    </row>
    <row r="35" spans="1:29" ht="17.25" thickBot="1" x14ac:dyDescent="0.35">
      <c r="A35">
        <v>60</v>
      </c>
      <c r="B35" t="s">
        <v>14</v>
      </c>
      <c r="C35">
        <v>6.5505699999999996</v>
      </c>
      <c r="D35">
        <v>5.88734</v>
      </c>
      <c r="E35">
        <v>4.6338800000000004</v>
      </c>
      <c r="F35">
        <v>1.48</v>
      </c>
      <c r="G35">
        <v>4.3633899999999999</v>
      </c>
      <c r="H35">
        <v>1.0458499999999999</v>
      </c>
      <c r="I35">
        <v>0.93618999999999997</v>
      </c>
      <c r="J35">
        <v>0.96675999999999995</v>
      </c>
      <c r="K35" s="7">
        <v>60</v>
      </c>
      <c r="L35" s="7" t="s">
        <v>14</v>
      </c>
      <c r="M35" s="7">
        <v>7.38422</v>
      </c>
      <c r="N35" s="7">
        <v>6.8391500000000001</v>
      </c>
      <c r="O35" s="7">
        <v>5.1933199999999999</v>
      </c>
      <c r="P35" s="7">
        <v>1.6754100000000001</v>
      </c>
      <c r="Q35" s="7">
        <v>10.414859999999999</v>
      </c>
      <c r="R35" s="7">
        <v>1.43597</v>
      </c>
      <c r="S35" s="7">
        <v>0.93520000000000003</v>
      </c>
      <c r="T35" s="7">
        <v>0.96628000000000003</v>
      </c>
      <c r="V35">
        <f t="shared" si="8"/>
        <v>6.9673949999999998</v>
      </c>
      <c r="W35">
        <f t="shared" si="9"/>
        <v>6.363245</v>
      </c>
      <c r="X35">
        <f t="shared" si="10"/>
        <v>4.9136000000000006</v>
      </c>
      <c r="Y35">
        <f t="shared" si="11"/>
        <v>1.5777049999999999</v>
      </c>
      <c r="Z35">
        <f t="shared" si="12"/>
        <v>7.3891249999999999</v>
      </c>
      <c r="AA35">
        <f t="shared" si="13"/>
        <v>1.24091</v>
      </c>
      <c r="AB35">
        <f t="shared" si="14"/>
        <v>0.93569499999999994</v>
      </c>
      <c r="AC35">
        <f t="shared" si="15"/>
        <v>0.96652000000000005</v>
      </c>
    </row>
    <row r="36" spans="1:29" ht="17.25" thickBot="1" x14ac:dyDescent="0.35">
      <c r="A36" s="1">
        <v>10</v>
      </c>
      <c r="B36" s="2" t="s">
        <v>15</v>
      </c>
      <c r="C36" s="2">
        <v>31.67379</v>
      </c>
      <c r="D36" s="2">
        <v>28.610279999999999</v>
      </c>
      <c r="E36" s="2">
        <v>15.17398</v>
      </c>
      <c r="F36" s="2">
        <v>4.3415800000000004</v>
      </c>
      <c r="G36" s="2">
        <v>29.965009999999999</v>
      </c>
      <c r="H36" s="2">
        <v>3.17272</v>
      </c>
      <c r="I36" s="2">
        <v>0.83206000000000002</v>
      </c>
      <c r="J36" s="2">
        <v>0.90803999999999996</v>
      </c>
      <c r="K36" s="9">
        <v>10</v>
      </c>
      <c r="L36" s="10" t="s">
        <v>15</v>
      </c>
      <c r="M36" s="10">
        <v>33.940399999999997</v>
      </c>
      <c r="N36" s="10">
        <v>30.765779999999999</v>
      </c>
      <c r="O36" s="10">
        <v>15.11032</v>
      </c>
      <c r="P36" s="10">
        <v>4.1728100000000001</v>
      </c>
      <c r="Q36" s="10">
        <v>18.32574</v>
      </c>
      <c r="R36" s="10">
        <v>2.1113499999999998</v>
      </c>
      <c r="S36" s="10">
        <v>0.83830000000000005</v>
      </c>
      <c r="T36" s="11">
        <v>0.91152999999999995</v>
      </c>
    </row>
    <row r="37" spans="1:29" x14ac:dyDescent="0.3">
      <c r="A37">
        <v>20</v>
      </c>
      <c r="B37" t="s">
        <v>15</v>
      </c>
      <c r="C37">
        <v>16.48978</v>
      </c>
      <c r="D37">
        <v>15.39737</v>
      </c>
      <c r="E37">
        <v>6.3157399999999999</v>
      </c>
      <c r="F37">
        <v>1.85991</v>
      </c>
      <c r="G37">
        <v>11.851000000000001</v>
      </c>
      <c r="H37">
        <v>1.6939500000000001</v>
      </c>
      <c r="I37">
        <v>0.92320999999999998</v>
      </c>
      <c r="J37">
        <v>0.95987</v>
      </c>
      <c r="K37" s="7">
        <v>20</v>
      </c>
      <c r="L37" s="7" t="s">
        <v>15</v>
      </c>
      <c r="M37" s="7">
        <v>17.246639999999999</v>
      </c>
      <c r="N37" s="7">
        <v>16.114180000000001</v>
      </c>
      <c r="O37" s="7">
        <v>6.5232599999999996</v>
      </c>
      <c r="P37" s="7">
        <v>2.02345</v>
      </c>
      <c r="Q37" s="7">
        <v>12.042949999999999</v>
      </c>
      <c r="R37" s="7">
        <v>1.6085499999999999</v>
      </c>
      <c r="S37" s="7">
        <v>0.91674999999999995</v>
      </c>
      <c r="T37" s="7">
        <v>0.95618999999999998</v>
      </c>
    </row>
    <row r="38" spans="1:29" x14ac:dyDescent="0.3">
      <c r="A38">
        <v>30</v>
      </c>
      <c r="B38" t="s">
        <v>15</v>
      </c>
      <c r="C38">
        <v>11.185029999999999</v>
      </c>
      <c r="D38">
        <v>10.24136</v>
      </c>
      <c r="E38">
        <v>4.60893</v>
      </c>
      <c r="F38">
        <v>1.5318099999999999</v>
      </c>
      <c r="G38">
        <v>6.5317100000000003</v>
      </c>
      <c r="H38">
        <v>1.0527200000000001</v>
      </c>
      <c r="I38">
        <v>0.93279999999999996</v>
      </c>
      <c r="J38">
        <v>0.96499000000000001</v>
      </c>
      <c r="K38" s="7">
        <v>30</v>
      </c>
      <c r="L38" s="7" t="s">
        <v>15</v>
      </c>
      <c r="M38" s="7">
        <v>12.04997</v>
      </c>
      <c r="N38" s="7">
        <v>11.268190000000001</v>
      </c>
      <c r="O38" s="7">
        <v>5.3180199999999997</v>
      </c>
      <c r="P38" s="7">
        <v>1.71716</v>
      </c>
      <c r="Q38" s="7">
        <v>10.77463</v>
      </c>
      <c r="R38" s="7">
        <v>1.50162</v>
      </c>
      <c r="S38" s="7">
        <v>0.92737000000000003</v>
      </c>
      <c r="T38" s="7">
        <v>0.96206000000000003</v>
      </c>
    </row>
    <row r="39" spans="1:29" x14ac:dyDescent="0.3">
      <c r="A39">
        <v>40</v>
      </c>
      <c r="B39" t="s">
        <v>15</v>
      </c>
      <c r="C39">
        <v>8.9539299999999997</v>
      </c>
      <c r="D39">
        <v>8.1491100000000003</v>
      </c>
      <c r="E39">
        <v>4.5820400000000001</v>
      </c>
      <c r="F39">
        <v>1.4636800000000001</v>
      </c>
      <c r="G39">
        <v>4.9584700000000002</v>
      </c>
      <c r="H39">
        <v>1.0117799999999999</v>
      </c>
      <c r="I39">
        <v>0.93998999999999999</v>
      </c>
      <c r="J39">
        <v>0.96882999999999997</v>
      </c>
      <c r="K39" s="7">
        <v>40</v>
      </c>
      <c r="L39" s="7" t="s">
        <v>15</v>
      </c>
      <c r="M39" s="7">
        <v>9.8128600000000006</v>
      </c>
      <c r="N39" s="7">
        <v>9.1331600000000002</v>
      </c>
      <c r="O39" s="7">
        <v>5.2851600000000003</v>
      </c>
      <c r="P39" s="7">
        <v>1.67344</v>
      </c>
      <c r="Q39" s="7">
        <v>10.84807</v>
      </c>
      <c r="R39" s="7">
        <v>1.5914200000000001</v>
      </c>
      <c r="S39" s="7">
        <v>0.93215999999999999</v>
      </c>
      <c r="T39" s="7">
        <v>0.96460000000000001</v>
      </c>
    </row>
    <row r="40" spans="1:29" x14ac:dyDescent="0.3">
      <c r="A40">
        <v>50</v>
      </c>
      <c r="B40" t="s">
        <v>15</v>
      </c>
      <c r="C40">
        <v>7.6993900000000002</v>
      </c>
      <c r="D40">
        <v>6.9792800000000002</v>
      </c>
      <c r="E40">
        <v>4.7114599999999998</v>
      </c>
      <c r="F40">
        <v>1.45608</v>
      </c>
      <c r="G40">
        <v>5.0850900000000001</v>
      </c>
      <c r="H40">
        <v>1.02959</v>
      </c>
      <c r="I40">
        <v>0.93964000000000003</v>
      </c>
      <c r="J40">
        <v>0.96857000000000004</v>
      </c>
      <c r="K40" s="7">
        <v>50</v>
      </c>
      <c r="L40" s="7" t="s">
        <v>15</v>
      </c>
      <c r="M40" s="7">
        <v>8.4428099999999997</v>
      </c>
      <c r="N40" s="7">
        <v>7.8297800000000004</v>
      </c>
      <c r="O40" s="7">
        <v>5.3087200000000001</v>
      </c>
      <c r="P40" s="7">
        <v>1.69354</v>
      </c>
      <c r="Q40" s="7">
        <v>11.197469999999999</v>
      </c>
      <c r="R40" s="7">
        <v>1.5679799999999999</v>
      </c>
      <c r="S40" s="7">
        <v>0.93296999999999997</v>
      </c>
      <c r="T40" s="7">
        <v>0.96503000000000005</v>
      </c>
    </row>
    <row r="41" spans="1:29" ht="17.25" thickBot="1" x14ac:dyDescent="0.35">
      <c r="A41">
        <v>60</v>
      </c>
      <c r="B41" s="8" t="s">
        <v>15</v>
      </c>
      <c r="C41" s="8">
        <v>6.6478299999999999</v>
      </c>
      <c r="D41" s="8">
        <v>5.9828900000000003</v>
      </c>
      <c r="E41" s="8">
        <v>4.6472699999999998</v>
      </c>
      <c r="F41" s="8">
        <v>1.46383</v>
      </c>
      <c r="G41" s="8">
        <v>4.5537099999999997</v>
      </c>
      <c r="H41" s="8">
        <v>1.06091</v>
      </c>
      <c r="I41">
        <v>0.93703000000000003</v>
      </c>
      <c r="J41">
        <v>0.96718999999999999</v>
      </c>
      <c r="K41" s="7">
        <v>60</v>
      </c>
      <c r="L41" s="7" t="s">
        <v>15</v>
      </c>
      <c r="M41" s="7">
        <v>7.5267600000000003</v>
      </c>
      <c r="N41" s="7">
        <v>6.9553900000000004</v>
      </c>
      <c r="O41" s="7">
        <v>5.3442100000000003</v>
      </c>
      <c r="P41" s="7">
        <v>1.7066699999999999</v>
      </c>
      <c r="Q41" s="7">
        <v>11.117330000000001</v>
      </c>
      <c r="R41" s="7">
        <v>1.5368299999999999</v>
      </c>
      <c r="S41" s="7">
        <v>0.93435999999999997</v>
      </c>
      <c r="T41" s="7">
        <v>0.96579000000000004</v>
      </c>
    </row>
    <row r="42" spans="1:29" ht="17.25" thickBot="1" x14ac:dyDescent="0.35">
      <c r="A42" s="1">
        <v>10</v>
      </c>
      <c r="B42" s="2" t="s">
        <v>17</v>
      </c>
      <c r="C42" s="2">
        <v>27.947210666666674</v>
      </c>
      <c r="D42" s="2">
        <v>25.26724529166669</v>
      </c>
      <c r="E42" s="2">
        <v>14.637193916666666</v>
      </c>
      <c r="F42" s="2">
        <v>4.2273656249999982</v>
      </c>
      <c r="G42" s="2">
        <v>26.278707124999976</v>
      </c>
      <c r="H42" s="2">
        <v>3.4490965416666692</v>
      </c>
      <c r="I42" s="2">
        <v>0.84131625000000032</v>
      </c>
      <c r="J42" s="2">
        <v>0.91322037499999986</v>
      </c>
      <c r="K42" s="9">
        <v>10</v>
      </c>
      <c r="L42" s="10" t="s">
        <v>16</v>
      </c>
      <c r="M42" s="10">
        <v>29.448457710843385</v>
      </c>
      <c r="N42" s="10">
        <v>26.656161204819281</v>
      </c>
      <c r="O42" s="10">
        <v>14.077091144578313</v>
      </c>
      <c r="P42" s="10">
        <v>3.9798403614457838</v>
      </c>
      <c r="Q42" s="10">
        <v>19.770478313253012</v>
      </c>
      <c r="R42" s="10">
        <v>2.452473192771083</v>
      </c>
      <c r="S42" s="10">
        <v>0.84946927710843445</v>
      </c>
      <c r="T42" s="11">
        <v>0.91799584337349316</v>
      </c>
    </row>
    <row r="43" spans="1:29" x14ac:dyDescent="0.3">
      <c r="A43">
        <v>20</v>
      </c>
      <c r="B43" t="s">
        <v>16</v>
      </c>
      <c r="C43">
        <v>14.32790058</v>
      </c>
      <c r="D43">
        <v>13.28850063</v>
      </c>
      <c r="E43">
        <v>6.832656042</v>
      </c>
      <c r="F43">
        <v>2.1107486249999998</v>
      </c>
      <c r="G43">
        <v>12.91329567</v>
      </c>
      <c r="H43">
        <v>2.2398838329999999</v>
      </c>
      <c r="I43">
        <v>0.92071875000000003</v>
      </c>
      <c r="J43">
        <v>0.95847079199999996</v>
      </c>
      <c r="K43" s="7">
        <v>20</v>
      </c>
      <c r="L43" s="7" t="s">
        <v>16</v>
      </c>
      <c r="M43" s="7">
        <v>14.948947048192769</v>
      </c>
      <c r="N43" s="7">
        <v>13.918922771084347</v>
      </c>
      <c r="O43" s="7">
        <v>6.4069322289156618</v>
      </c>
      <c r="P43" s="7">
        <v>2.1235205421686736</v>
      </c>
      <c r="Q43" s="7">
        <v>12.195050180722896</v>
      </c>
      <c r="R43" s="7">
        <v>1.9171680722891553</v>
      </c>
      <c r="S43" s="7">
        <v>0.91984042168674718</v>
      </c>
      <c r="T43" s="7">
        <v>0.95789198795180697</v>
      </c>
    </row>
    <row r="44" spans="1:29" x14ac:dyDescent="0.3">
      <c r="A44">
        <v>30</v>
      </c>
      <c r="B44" t="s">
        <v>16</v>
      </c>
      <c r="C44">
        <v>10.20031058333333</v>
      </c>
      <c r="D44">
        <v>9.2828700833333357</v>
      </c>
      <c r="E44">
        <v>5.6705457083333339</v>
      </c>
      <c r="F44">
        <v>1.8926449166666657</v>
      </c>
      <c r="G44">
        <v>9.1660606666666631</v>
      </c>
      <c r="H44">
        <v>1.6434462083333332</v>
      </c>
      <c r="I44">
        <v>0.92326508333333379</v>
      </c>
      <c r="J44">
        <v>0.95983799999999997</v>
      </c>
      <c r="K44" s="7">
        <v>30</v>
      </c>
      <c r="L44" s="7" t="s">
        <v>16</v>
      </c>
      <c r="M44" s="7">
        <v>10.580802228915662</v>
      </c>
      <c r="N44" s="7">
        <v>9.8368439156626479</v>
      </c>
      <c r="O44" s="7">
        <v>5.4820789156626519</v>
      </c>
      <c r="P44" s="7">
        <v>1.8685658433734935</v>
      </c>
      <c r="Q44" s="7">
        <v>11.255953554216868</v>
      </c>
      <c r="R44" s="7">
        <v>1.8520209036144559</v>
      </c>
      <c r="S44" s="7">
        <v>0.92592680722891574</v>
      </c>
      <c r="T44" s="7">
        <v>0.96125692771084337</v>
      </c>
    </row>
    <row r="45" spans="1:29" x14ac:dyDescent="0.3">
      <c r="A45">
        <v>40</v>
      </c>
      <c r="B45" t="s">
        <v>16</v>
      </c>
      <c r="C45">
        <v>8.2702547083333364</v>
      </c>
      <c r="D45">
        <v>7.4548888750000026</v>
      </c>
      <c r="E45">
        <v>5.6179555833333348</v>
      </c>
      <c r="F45">
        <v>1.8164817916666667</v>
      </c>
      <c r="G45">
        <v>8.2129708333333298</v>
      </c>
      <c r="H45">
        <v>1.5934603333333337</v>
      </c>
      <c r="I45">
        <v>0.92922666666666698</v>
      </c>
      <c r="J45">
        <v>0.96304375000000042</v>
      </c>
      <c r="K45" s="7">
        <v>40</v>
      </c>
      <c r="L45" s="7" t="s">
        <v>16</v>
      </c>
      <c r="M45" s="7">
        <v>8.6646613855421659</v>
      </c>
      <c r="N45" s="7">
        <v>8.0149121084337409</v>
      </c>
      <c r="O45" s="7">
        <v>5.4962534337349407</v>
      </c>
      <c r="P45" s="7">
        <v>1.7798313253012044</v>
      </c>
      <c r="Q45" s="7">
        <v>10.798372108433735</v>
      </c>
      <c r="R45" s="7">
        <v>1.8874063253012063</v>
      </c>
      <c r="S45" s="7">
        <v>0.93079789156626458</v>
      </c>
      <c r="T45" s="7">
        <v>0.96389481927710796</v>
      </c>
    </row>
    <row r="46" spans="1:29" x14ac:dyDescent="0.3">
      <c r="A46">
        <v>50</v>
      </c>
      <c r="B46" t="s">
        <v>16</v>
      </c>
      <c r="C46">
        <v>7.3285123333333297</v>
      </c>
      <c r="D46">
        <v>6.5600029166666669</v>
      </c>
      <c r="E46">
        <v>5.7185462916666685</v>
      </c>
      <c r="F46">
        <v>1.8001605833333345</v>
      </c>
      <c r="G46">
        <v>8.4901403333333327</v>
      </c>
      <c r="H46">
        <v>1.6105668333333327</v>
      </c>
      <c r="I46">
        <v>0.92954329166666694</v>
      </c>
      <c r="J46">
        <v>0.96317949999999963</v>
      </c>
      <c r="K46" s="7">
        <v>50</v>
      </c>
      <c r="L46" s="7" t="s">
        <v>16</v>
      </c>
      <c r="M46" s="7">
        <v>7.4791487349397565</v>
      </c>
      <c r="N46" s="7">
        <v>6.8929204216867443</v>
      </c>
      <c r="O46" s="7">
        <v>5.4949970481927686</v>
      </c>
      <c r="P46" s="7">
        <v>1.7781386144578311</v>
      </c>
      <c r="Q46" s="7">
        <v>10.95605975903614</v>
      </c>
      <c r="R46" s="7">
        <v>1.8441287951807221</v>
      </c>
      <c r="S46" s="7">
        <v>0.93271981927710856</v>
      </c>
      <c r="T46" s="7">
        <v>0.96492819277108444</v>
      </c>
    </row>
    <row r="47" spans="1:29" x14ac:dyDescent="0.3">
      <c r="A47">
        <v>60</v>
      </c>
      <c r="B47" t="s">
        <v>16</v>
      </c>
      <c r="C47">
        <v>6.4971309166666664</v>
      </c>
      <c r="D47">
        <v>5.7804378333333402</v>
      </c>
      <c r="E47">
        <v>5.527488374999999</v>
      </c>
      <c r="F47">
        <v>1.7632781250000009</v>
      </c>
      <c r="G47">
        <v>7.5307218749999985</v>
      </c>
      <c r="H47">
        <v>1.5929749999999998</v>
      </c>
      <c r="I47">
        <v>0.92950187499999981</v>
      </c>
      <c r="J47">
        <v>0.96320975000000009</v>
      </c>
      <c r="K47" s="7">
        <v>60</v>
      </c>
      <c r="L47" s="7" t="s">
        <v>16</v>
      </c>
      <c r="M47" s="7">
        <v>6.7170730120481901</v>
      </c>
      <c r="N47" s="7">
        <v>6.1676160240963824</v>
      </c>
      <c r="O47" s="7">
        <v>5.5152619879518054</v>
      </c>
      <c r="P47" s="7">
        <v>1.7815574096385536</v>
      </c>
      <c r="Q47" s="7">
        <v>10.932906566265059</v>
      </c>
      <c r="R47" s="7">
        <v>1.8366131927710836</v>
      </c>
      <c r="S47" s="7">
        <v>0.93366222891566319</v>
      </c>
      <c r="T47" s="7">
        <v>0.96544006024096396</v>
      </c>
    </row>
    <row r="48" spans="1:29" x14ac:dyDescent="0.3">
      <c r="A48">
        <v>70</v>
      </c>
      <c r="B48" s="7" t="s">
        <v>16</v>
      </c>
      <c r="C48" s="7">
        <v>5.7624996703296683</v>
      </c>
      <c r="D48" s="7">
        <v>5.1240091758241775</v>
      </c>
      <c r="E48" s="7">
        <v>5.5631482967032966</v>
      </c>
      <c r="F48" s="7">
        <v>1.7504043956043949</v>
      </c>
      <c r="G48" s="7">
        <v>7.8518851098901115</v>
      </c>
      <c r="H48" s="7">
        <v>1.727820054945056</v>
      </c>
      <c r="I48" s="7">
        <v>0.93189027472527486</v>
      </c>
      <c r="J48" s="7">
        <v>0.96448851648351608</v>
      </c>
      <c r="K48" s="7">
        <v>70</v>
      </c>
      <c r="L48" s="7" t="s">
        <v>16</v>
      </c>
      <c r="M48" s="7">
        <v>6.4555975301204809</v>
      </c>
      <c r="N48" s="7">
        <v>5.8499240361445795</v>
      </c>
      <c r="O48" s="7">
        <v>5.6484780120481952</v>
      </c>
      <c r="P48" s="7">
        <v>1.7790659036144574</v>
      </c>
      <c r="Q48" s="7">
        <v>11.535772228915661</v>
      </c>
      <c r="R48" s="7">
        <v>1.8356725903614461</v>
      </c>
      <c r="S48" s="7">
        <v>0.92321084337349457</v>
      </c>
      <c r="T48" s="7">
        <v>0.95971722891566291</v>
      </c>
    </row>
    <row r="51" spans="11:20" x14ac:dyDescent="0.3">
      <c r="K51" s="7"/>
      <c r="L51" s="7"/>
      <c r="M51" s="7"/>
      <c r="N51" s="7"/>
      <c r="O51" s="7"/>
      <c r="P51" s="7"/>
      <c r="Q51" s="7"/>
      <c r="R51" s="7"/>
      <c r="S51" s="7"/>
      <c r="T51" s="7"/>
    </row>
    <row r="55" spans="11:20" x14ac:dyDescent="0.3">
      <c r="L55" s="7"/>
    </row>
  </sheetData>
  <phoneticPr fontId="1" type="noConversion"/>
  <conditionalFormatting sqref="E44:E45 E2:E42 E47:E48">
    <cfRule type="top10" dxfId="17" priority="18" percent="1" bottom="1" rank="10"/>
  </conditionalFormatting>
  <conditionalFormatting sqref="F44:F45 F2:F42 F47:F48">
    <cfRule type="top10" dxfId="16" priority="17" percent="1" bottom="1" rank="10"/>
  </conditionalFormatting>
  <conditionalFormatting sqref="I44:I45 I2:I42 I47:I48">
    <cfRule type="top10" dxfId="15" priority="16" percent="1" rank="10"/>
  </conditionalFormatting>
  <conditionalFormatting sqref="J44:J45 J2:J42 J47:J48">
    <cfRule type="top10" dxfId="14" priority="15" percent="1" rank="10"/>
  </conditionalFormatting>
  <conditionalFormatting sqref="L52 L54:L55">
    <cfRule type="top10" dxfId="13" priority="14" percent="1" bottom="1" rank="10"/>
  </conditionalFormatting>
  <conditionalFormatting sqref="G44:G45 G2:G42 G47:G48">
    <cfRule type="top10" dxfId="12" priority="13" percent="1" bottom="1" rank="10"/>
  </conditionalFormatting>
  <conditionalFormatting sqref="H44:H45 H1:H42 H47:H48">
    <cfRule type="top10" dxfId="11" priority="12" bottom="1" rank="10"/>
  </conditionalFormatting>
  <conditionalFormatting sqref="C44:C48 C2:C42">
    <cfRule type="top10" dxfId="10" priority="11" percent="1" bottom="1" rank="10"/>
  </conditionalFormatting>
  <conditionalFormatting sqref="D44:D48 D2:D42">
    <cfRule type="top10" dxfId="9" priority="10" percent="1" bottom="1" rank="10"/>
  </conditionalFormatting>
  <conditionalFormatting sqref="M48 M51 M2:M46">
    <cfRule type="top10" dxfId="8" priority="44" percent="1" bottom="1" rank="10"/>
  </conditionalFormatting>
  <conditionalFormatting sqref="N51 N2:N48">
    <cfRule type="top10" dxfId="7" priority="45" percent="1" bottom="1" rank="10"/>
  </conditionalFormatting>
  <conditionalFormatting sqref="O51 O2:O48">
    <cfRule type="top10" dxfId="6" priority="49" percent="1" bottom="1" rank="10"/>
    <cfRule type="top10" dxfId="5" priority="50" percent="1" rank="10"/>
  </conditionalFormatting>
  <conditionalFormatting sqref="P51 P2:P48">
    <cfRule type="top10" dxfId="4" priority="57" percent="1" bottom="1" rank="10"/>
  </conditionalFormatting>
  <conditionalFormatting sqref="Q51 Q2:Q48">
    <cfRule type="top10" dxfId="3" priority="61" percent="1" bottom="1" rank="10"/>
  </conditionalFormatting>
  <conditionalFormatting sqref="R51 R2:R48">
    <cfRule type="top10" dxfId="2" priority="65" percent="1" bottom="1" rank="10"/>
  </conditionalFormatting>
  <conditionalFormatting sqref="S51 S2:S48">
    <cfRule type="top10" dxfId="1" priority="69" percent="1" rank="10"/>
  </conditionalFormatting>
  <conditionalFormatting sqref="T51 T2:T48">
    <cfRule type="top10" dxfId="0" priority="73" percent="1" rank="10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가은 이</cp:lastModifiedBy>
  <dcterms:created xsi:type="dcterms:W3CDTF">2025-11-25T04:12:26Z</dcterms:created>
  <dcterms:modified xsi:type="dcterms:W3CDTF">2025-11-26T07:23:56Z</dcterms:modified>
</cp:coreProperties>
</file>